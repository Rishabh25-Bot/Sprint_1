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ishabh\Downloads\anudip project\"/>
    </mc:Choice>
  </mc:AlternateContent>
  <xr:revisionPtr revIDLastSave="0" documentId="8_{E1F0473E-42CB-41C2-BBFA-0FD3E29FA253}" xr6:coauthVersionLast="47" xr6:coauthVersionMax="47" xr10:uidLastSave="{00000000-0000-0000-0000-000000000000}"/>
  <bookViews>
    <workbookView xWindow="-108" yWindow="-108" windowWidth="23256" windowHeight="12456" tabRatio="946" activeTab="5" xr2:uid="{6835C5E1-A5AF-46F6-AB34-779C16BF0DB8}"/>
  </bookViews>
  <sheets>
    <sheet name="Man of the Match" sheetId="6" r:id="rId1"/>
    <sheet name="Matches win by team" sheetId="3" r:id="rId2"/>
    <sheet name="Top 10 Winners" sheetId="5" r:id="rId3"/>
    <sheet name="Toss Decison based on winning" sheetId="4" r:id="rId4"/>
    <sheet name="KPI" sheetId="8" r:id="rId5"/>
    <sheet name="Dashboard" sheetId="9" r:id="rId6"/>
    <sheet name="IPL Matches 2008-2018" sheetId="1" r:id="rId7"/>
    <sheet name="Title winner" sheetId="7" r:id="rId8"/>
    <sheet name="Winner Data" sheetId="2" r:id="rId9"/>
  </sheets>
  <definedNames>
    <definedName name="_xlchart.v1.0" hidden="1">'Title winner'!$E$5:$F$10</definedName>
    <definedName name="_xlchart.v1.1" hidden="1">'Title winner'!$G$5:$G$10</definedName>
    <definedName name="_xlchart.v1.2" hidden="1">'Title winner'!$E$5:$F$10</definedName>
    <definedName name="_xlchart.v1.3" hidden="1">'Title winner'!$G$5:$G$10</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8" l="1"/>
  <c r="H5" i="8" s="1"/>
  <c r="E6" i="7"/>
  <c r="E7" i="7"/>
  <c r="E8" i="7"/>
  <c r="E9" i="7"/>
  <c r="E10" i="7"/>
  <c r="E5" i="7"/>
  <c r="D6" i="6"/>
  <c r="D7" i="6"/>
  <c r="D8" i="6"/>
  <c r="D9" i="6"/>
  <c r="D10" i="6"/>
  <c r="D11" i="6"/>
  <c r="D12" i="6"/>
  <c r="D13" i="6"/>
  <c r="D14" i="6"/>
  <c r="D5" i="6"/>
  <c r="G6" i="7"/>
  <c r="G8" i="7"/>
  <c r="G9" i="7"/>
  <c r="G10" i="7"/>
  <c r="G7" i="7"/>
  <c r="G5" i="7"/>
  <c r="E6" i="6"/>
  <c r="E7" i="6"/>
  <c r="E8" i="6"/>
  <c r="E9" i="6"/>
  <c r="E10" i="6"/>
  <c r="E11" i="6"/>
  <c r="E12" i="6"/>
  <c r="E13" i="6"/>
  <c r="E14" i="6"/>
  <c r="E5" i="6"/>
  <c r="G5" i="8" l="1"/>
  <c r="E5" i="8"/>
  <c r="F5" i="8"/>
</calcChain>
</file>

<file path=xl/sharedStrings.xml><?xml version="1.0" encoding="utf-8"?>
<sst xmlns="http://schemas.openxmlformats.org/spreadsheetml/2006/main" count="8575" uniqueCount="429">
  <si>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</si>
  <si>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</si>
  <si>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</si>
  <si>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</si>
  <si>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</si>
  <si>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</si>
  <si>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</si>
  <si>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</si>
  <si>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</si>
  <si>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</si>
  <si>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</si>
  <si>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</si>
  <si>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</si>
  <si>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</si>
  <si>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</si>
  <si>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</si>
  <si>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</si>
  <si>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</si>
  <si>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</si>
  <si>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</si>
  <si>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</si>
  <si>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</si>
  <si>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</si>
  <si>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</si>
  <si>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</si>
  <si>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</si>
  <si>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</si>
  <si>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</si>
  <si>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</si>
  <si>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</si>
  <si>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</si>
  <si>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</si>
  <si>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</si>
  <si>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</si>
  <si>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</si>
  <si>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</si>
  <si>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</si>
  <si>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</si>
  <si>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</si>
  <si>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</si>
  <si>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</si>
  <si>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</si>
  <si>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</si>
  <si>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</si>
  <si>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</si>
  <si>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</si>
  <si>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</si>
  <si>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</si>
  <si>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</si>
  <si>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</si>
  <si>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</si>
  <si>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</si>
  <si>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</si>
  <si>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</si>
  <si>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</si>
  <si>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</si>
  <si>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</si>
  <si>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</si>
  <si>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</si>
  <si>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</si>
  <si>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</si>
  <si>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</si>
  <si>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</si>
  <si>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</si>
  <si>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</si>
  <si>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</si>
  <si>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</si>
  <si>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</si>
  <si>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</si>
  <si>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</si>
  <si>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</si>
  <si>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</si>
  <si>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</si>
  <si>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</si>
  <si>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</si>
  <si>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</si>
  <si>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</si>
  <si>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</si>
  <si>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</si>
  <si>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</si>
  <si>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</si>
  <si>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</si>
  <si>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</si>
  <si>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</si>
  <si>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</si>
  <si>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</si>
  <si>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</si>
  <si>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</si>
  <si>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</si>
  <si>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</si>
  <si>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</si>
  <si>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</si>
  <si>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</si>
  <si>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</si>
  <si>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</si>
  <si>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</si>
  <si>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</si>
  <si>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</si>
  <si>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</si>
  <si>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</si>
  <si>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</si>
  <si>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</si>
  <si>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</si>
  <si>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</si>
  <si>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</si>
  <si>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</si>
  <si>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</si>
  <si>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</si>
  <si>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</si>
  <si>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</si>
  <si>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</si>
  <si>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</si>
  <si>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</si>
  <si>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</si>
  <si>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</si>
  <si>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</si>
  <si>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</si>
  <si>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</si>
  <si>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</si>
  <si>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</si>
  <si>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</si>
  <si>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</si>
  <si>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</si>
  <si>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</si>
  <si>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</si>
  <si>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</si>
  <si>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</si>
  <si>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</si>
  <si>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</si>
  <si>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</si>
  <si>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</si>
  <si>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</si>
  <si>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</si>
  <si>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</si>
  <si>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</si>
  <si>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</si>
  <si>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</si>
  <si>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</si>
  <si>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</si>
  <si>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</si>
  <si>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</si>
  <si>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</si>
  <si>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</si>
  <si>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</si>
  <si>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</si>
  <si>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</si>
  <si>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</si>
  <si>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</si>
  <si>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</si>
  <si>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</si>
  <si>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</si>
  <si>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</si>
  <si>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</si>
  <si>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</si>
  <si>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</si>
  <si>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</si>
  <si>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</si>
  <si>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</si>
  <si>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</si>
  <si>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</si>
  <si>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</si>
  <si>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</si>
  <si>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</si>
  <si>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</si>
  <si>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</si>
  <si>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</si>
  <si>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</si>
  <si>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</si>
  <si>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</si>
  <si>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</si>
  <si>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</si>
  <si>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</si>
  <si>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</si>
  <si>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</si>
  <si>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</si>
  <si>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</si>
  <si>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</si>
  <si>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</si>
  <si>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</si>
  <si>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</si>
  <si>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</si>
  <si>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</si>
  <si>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</si>
  <si>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</si>
  <si>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</si>
  <si>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</si>
  <si>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</si>
  <si>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</si>
  <si>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</si>
  <si>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</si>
  <si>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</si>
  <si>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</si>
  <si>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</si>
  <si>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</si>
  <si>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</si>
  <si>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</si>
  <si>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</si>
  <si>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</si>
  <si>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</si>
  <si>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</si>
  <si>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</si>
  <si>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</si>
  <si>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</si>
  <si>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</si>
  <si>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</si>
  <si>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</si>
  <si>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</si>
  <si>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</si>
  <si>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</si>
  <si>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</si>
  <si>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</si>
  <si>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</si>
  <si>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</si>
  <si>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</si>
  <si>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</si>
  <si>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</si>
  <si>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</si>
  <si>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</si>
  <si>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</si>
  <si>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</si>
  <si>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</si>
  <si>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</si>
  <si>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</si>
  <si>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</si>
  <si>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</si>
  <si>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</si>
  <si>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</si>
  <si>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</si>
  <si>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</si>
  <si>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</si>
  <si>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</si>
  <si>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</si>
  <si>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</si>
  <si>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</si>
  <si>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</si>
  <si>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</si>
  <si>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</si>
  <si>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</si>
  <si>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</si>
  <si>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</si>
  <si>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</si>
  <si>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</si>
  <si>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</si>
  <si>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</si>
  <si>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</si>
  <si>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</si>
  <si>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</si>
  <si>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</si>
  <si>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</si>
  <si>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</si>
  <si>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</si>
  <si>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</si>
  <si>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</si>
  <si>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</si>
  <si>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</si>
  <si>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</si>
  <si>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</si>
  <si>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</si>
  <si>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</si>
  <si>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</si>
  <si>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</si>
  <si>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</si>
  <si>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</si>
  <si>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</si>
  <si>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</si>
  <si>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</si>
  <si>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</si>
  <si>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</si>
  <si>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</si>
  <si>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</si>
  <si>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</si>
  <si>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</si>
  <si>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</si>
  <si>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</si>
  <si>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</si>
  <si>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</si>
  <si>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</si>
  <si>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</si>
  <si>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</si>
  <si>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</si>
  <si>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</si>
  <si>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</si>
  <si>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</si>
  <si>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</si>
  <si>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</si>
  <si>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</si>
  <si>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</si>
  <si>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</si>
  <si>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</si>
  <si>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</si>
  <si>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</si>
  <si>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</si>
  <si>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</si>
  <si>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</si>
  <si>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</si>
  <si>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</si>
  <si>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</si>
  <si>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</si>
  <si>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</si>
  <si>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</si>
  <si>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</si>
  <si>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</si>
  <si>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</si>
  <si>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</si>
  <si>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</si>
  <si>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</si>
  <si>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</si>
  <si>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</si>
  <si>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</si>
  <si>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</si>
  <si>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</si>
  <si>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</si>
  <si>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</si>
  <si>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</si>
  <si>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</si>
  <si>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</si>
  <si>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</si>
  <si>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</si>
  <si>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</si>
  <si>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</si>
  <si>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</si>
  <si>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</si>
  <si>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</si>
  <si>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</si>
  <si>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</si>
  <si>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</si>
  <si>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</si>
  <si>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</si>
  <si>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</si>
  <si>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</si>
  <si>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</si>
  <si>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</si>
  <si>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</si>
  <si>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</si>
  <si>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</si>
  <si>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</si>
  <si>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</si>
  <si>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</si>
  <si>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</si>
  <si>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</si>
  <si>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</si>
  <si>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</si>
  <si>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</si>
  <si>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</si>
  <si>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</si>
  <si>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</si>
  <si>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</si>
  <si>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</si>
  <si>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</si>
  <si>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</si>
  <si>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</si>
  <si>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</si>
  <si>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</si>
  <si>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</si>
  <si>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</si>
  <si>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</si>
  <si>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</si>
  <si>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</si>
  <si>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</si>
  <si>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</si>
  <si>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</si>
  <si>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</si>
  <si>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</si>
  <si>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</si>
  <si>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</si>
  <si>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</si>
  <si>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</si>
  <si>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</si>
  <si>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</si>
  <si>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</si>
  <si>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</si>
  <si>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</si>
  <si>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</si>
  <si>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</si>
  <si>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</si>
  <si>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</si>
  <si>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</si>
  <si>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</si>
  <si>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</si>
  <si>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</si>
  <si>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</si>
  <si>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</si>
  <si>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</si>
  <si>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</si>
  <si>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</si>
  <si>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</si>
  <si>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</si>
  <si>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</si>
  <si>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</si>
  <si>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</si>
  <si>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</si>
  <si>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</si>
  <si>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</si>
  <si>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</si>
  <si>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</si>
  <si>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</si>
  <si>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</si>
  <si>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</si>
  <si>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</si>
  <si>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</si>
  <si>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</si>
  <si>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</si>
  <si>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</si>
  <si>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</si>
  <si>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</si>
  <si>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</si>
  <si>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</si>
  <si>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</si>
  <si>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</si>
  <si>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</si>
  <si>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</si>
  <si>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</si>
  <si>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</si>
  <si>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</si>
  <si>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</si>
  <si>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</si>
  <si>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</si>
  <si>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</si>
  <si>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</si>
  <si>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</si>
  <si>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</si>
  <si>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</si>
  <si>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</si>
  <si>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</si>
  <si>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</si>
  <si>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</si>
  <si>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Man of the Match</t>
  </si>
  <si>
    <t>Count of Winner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</si>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</sst>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3">
    <fill>
      <patternFill patternType="none"/>
    </fill>
    <fill>
      <patternFill patternType="gray125"/>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left" vertical="center" wrapText="1"/>
    </xf>
    <xf numFmtId="14" fontId="0" fillId="0" borderId="0" xfId="0" applyNumberFormat="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4">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outline="0">
        <left style="thin">
          <color indexed="64"/>
        </left>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theme="4" tint="0.79998168889431442"/>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right style="thin">
          <color indexed="64"/>
        </right>
        <top style="thin">
          <color indexed="64"/>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Player of the Match</a:t>
            </a:r>
          </a:p>
          <a:p>
            <a:pPr>
              <a:defRPr/>
            </a:pPr>
            <a:endParaRPr lang="en-US"/>
          </a:p>
        </c:rich>
      </c:tx>
      <c:layout>
        <c:manualLayout>
          <c:xMode val="edge"/>
          <c:yMode val="edge"/>
          <c:x val="0.3520415573053368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 of the Match'!$E$4</c:f>
              <c:strCache>
                <c:ptCount val="1"/>
                <c:pt idx="0">
                  <c:v>Man of the Match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Match'!$D$5:$D$14</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'Man of the Match'!$E$5:$E$14</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C7A6-4949-A26E-BAFF08F6658D}"/>
            </c:ext>
          </c:extLst>
        </c:ser>
        <c:dLbls>
          <c:dLblPos val="outEnd"/>
          <c:showLegendKey val="0"/>
          <c:showVal val="1"/>
          <c:showCatName val="0"/>
          <c:showSerName val="0"/>
          <c:showPercent val="0"/>
          <c:showBubbleSize val="0"/>
        </c:dLbls>
        <c:gapWidth val="100"/>
        <c:overlap val="-27"/>
        <c:axId val="780447296"/>
        <c:axId val="780446336"/>
      </c:barChart>
      <c:catAx>
        <c:axId val="78044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46336"/>
        <c:crosses val="autoZero"/>
        <c:auto val="1"/>
        <c:lblAlgn val="ctr"/>
        <c:lblOffset val="100"/>
        <c:noMultiLvlLbl val="0"/>
      </c:catAx>
      <c:valAx>
        <c:axId val="78044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4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teams sincebat first and field first</a:t>
            </a:r>
          </a:p>
          <a:p>
            <a:pPr>
              <a:defRPr/>
            </a:pPr>
            <a:r>
              <a:rPr lang="en-IN" baseline="0"/>
              <a:t> 2008</a:t>
            </a:r>
            <a:endParaRPr lang="en-IN"/>
          </a:p>
        </c:rich>
      </c:tx>
      <c:layout>
        <c:manualLayout>
          <c:xMode val="edge"/>
          <c:yMode val="edge"/>
          <c:x val="7.879960600779824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2311-4BBA-AF93-B295F6B97EAC}"/>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2311-4BBA-AF93-B295F6B97EAC}"/>
            </c:ext>
          </c:extLst>
        </c:ser>
        <c:dLbls>
          <c:dLblPos val="ctr"/>
          <c:showLegendKey val="0"/>
          <c:showVal val="1"/>
          <c:showCatName val="0"/>
          <c:showSerName val="0"/>
          <c:showPercent val="0"/>
          <c:showBubbleSize val="0"/>
        </c:dLbls>
        <c:gapWidth val="150"/>
        <c:overlap val="100"/>
        <c:axId val="695507312"/>
        <c:axId val="695506352"/>
      </c:barChart>
      <c:catAx>
        <c:axId val="6955073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06352"/>
        <c:crosses val="autoZero"/>
        <c:auto val="1"/>
        <c:lblAlgn val="ctr"/>
        <c:lblOffset val="100"/>
        <c:noMultiLvlLbl val="0"/>
      </c:catAx>
      <c:valAx>
        <c:axId val="695506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07312"/>
        <c:crosses val="autoZero"/>
        <c:crossBetween val="between"/>
      </c:valAx>
      <c:spPr>
        <a:noFill/>
        <a:ln>
          <a:noFill/>
        </a:ln>
        <a:effectLst/>
      </c:spPr>
    </c:plotArea>
    <c:legend>
      <c:legendPos val="r"/>
      <c:layout>
        <c:manualLayout>
          <c:xMode val="edge"/>
          <c:yMode val="edge"/>
          <c:x val="0.76396762904636928"/>
          <c:y val="1.0045567220764046E-2"/>
          <c:w val="0.1832545931758530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rnd" cmpd="sng" algn="ctr">
      <a:solidFill>
        <a:schemeClr val="tx1">
          <a:lumMod val="15000"/>
          <a:lumOff val="85000"/>
          <a:alpha val="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Winners!Top 10 Winners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&amp; Field First  </a:t>
            </a:r>
            <a:endParaRPr lang="en-IN"/>
          </a:p>
        </c:rich>
      </c:tx>
      <c:layout>
        <c:manualLayout>
          <c:xMode val="edge"/>
          <c:yMode val="edge"/>
          <c:x val="0.15507637017070983"/>
          <c:y val="1.4109347442680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59264761716107"/>
          <c:y val="0.20490299823633157"/>
          <c:w val="0.37708493985421632"/>
          <c:h val="0.63847157994139625"/>
        </c:manualLayout>
      </c:layout>
      <c:barChart>
        <c:barDir val="bar"/>
        <c:grouping val="stacked"/>
        <c:varyColors val="0"/>
        <c:ser>
          <c:idx val="0"/>
          <c:order val="0"/>
          <c:tx>
            <c:strRef>
              <c:f>'Top 10 Winners'!$B$3:$B$4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Winners'!$B$5:$B$14</c:f>
              <c:numCache>
                <c:formatCode>General</c:formatCode>
                <c:ptCount val="9"/>
                <c:pt idx="1">
                  <c:v>1</c:v>
                </c:pt>
                <c:pt idx="2">
                  <c:v>2</c:v>
                </c:pt>
                <c:pt idx="3">
                  <c:v>2</c:v>
                </c:pt>
                <c:pt idx="4">
                  <c:v>3</c:v>
                </c:pt>
                <c:pt idx="5">
                  <c:v>4</c:v>
                </c:pt>
                <c:pt idx="6">
                  <c:v>4</c:v>
                </c:pt>
                <c:pt idx="7">
                  <c:v>4</c:v>
                </c:pt>
                <c:pt idx="8">
                  <c:v>6</c:v>
                </c:pt>
              </c:numCache>
            </c:numRef>
          </c:val>
          <c:extLst>
            <c:ext xmlns:c16="http://schemas.microsoft.com/office/drawing/2014/chart" uri="{C3380CC4-5D6E-409C-BE32-E72D297353CC}">
              <c16:uniqueId val="{00000000-3530-42DE-B0DD-3844D2B736F1}"/>
            </c:ext>
          </c:extLst>
        </c:ser>
        <c:ser>
          <c:idx val="1"/>
          <c:order val="1"/>
          <c:tx>
            <c:strRef>
              <c:f>'Top 10 Winners'!$C$3:$C$4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Winners'!$C$5:$C$14</c:f>
              <c:numCache>
                <c:formatCode>General</c:formatCode>
                <c:ptCount val="9"/>
                <c:pt idx="0">
                  <c:v>4</c:v>
                </c:pt>
                <c:pt idx="1">
                  <c:v>6</c:v>
                </c:pt>
                <c:pt idx="2">
                  <c:v>4</c:v>
                </c:pt>
                <c:pt idx="3">
                  <c:v>4</c:v>
                </c:pt>
                <c:pt idx="4">
                  <c:v>4</c:v>
                </c:pt>
                <c:pt idx="5">
                  <c:v>3</c:v>
                </c:pt>
                <c:pt idx="6">
                  <c:v>3</c:v>
                </c:pt>
                <c:pt idx="7">
                  <c:v>3</c:v>
                </c:pt>
                <c:pt idx="8">
                  <c:v>1</c:v>
                </c:pt>
              </c:numCache>
            </c:numRef>
          </c:val>
          <c:extLst>
            <c:ext xmlns:c16="http://schemas.microsoft.com/office/drawing/2014/chart" uri="{C3380CC4-5D6E-409C-BE32-E72D297353CC}">
              <c16:uniqueId val="{00000001-3530-42DE-B0DD-3844D2B736F1}"/>
            </c:ext>
          </c:extLst>
        </c:ser>
        <c:dLbls>
          <c:dLblPos val="ctr"/>
          <c:showLegendKey val="0"/>
          <c:showVal val="1"/>
          <c:showCatName val="0"/>
          <c:showSerName val="0"/>
          <c:showPercent val="0"/>
          <c:showBubbleSize val="0"/>
        </c:dLbls>
        <c:gapWidth val="150"/>
        <c:overlap val="100"/>
        <c:axId val="814215904"/>
        <c:axId val="814216864"/>
      </c:barChart>
      <c:catAx>
        <c:axId val="81421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16864"/>
        <c:crosses val="autoZero"/>
        <c:auto val="1"/>
        <c:lblAlgn val="ctr"/>
        <c:lblOffset val="100"/>
        <c:noMultiLvlLbl val="0"/>
      </c:catAx>
      <c:valAx>
        <c:axId val="814216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a:t>
                </a:r>
              </a:p>
            </c:rich>
          </c:tx>
          <c:layout>
            <c:manualLayout>
              <c:xMode val="edge"/>
              <c:yMode val="edge"/>
              <c:x val="0.44541126619658183"/>
              <c:y val="0.911093335555277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15904"/>
        <c:crosses val="autoZero"/>
        <c:crossBetween val="between"/>
      </c:valAx>
      <c:spPr>
        <a:noFill/>
        <a:ln>
          <a:noFill/>
        </a:ln>
        <a:effectLst/>
      </c:spPr>
    </c:plotArea>
    <c:legend>
      <c:legendPos val="r"/>
      <c:layout>
        <c:manualLayout>
          <c:xMode val="edge"/>
          <c:yMode val="edge"/>
          <c:x val="0.8778565179352581"/>
          <c:y val="3.3193715368912191E-2"/>
          <c:w val="9.575218192065614E-2"/>
          <c:h val="0.119048452276798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Decison based on winning!PivotTable2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Decison based on winning</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535794843405909"/>
          <c:y val="0.24724997375328084"/>
          <c:w val="0.38461689744841099"/>
          <c:h val="0.66523338582677161"/>
        </c:manualLayout>
      </c:layout>
      <c:doughnutChart>
        <c:varyColors val="1"/>
        <c:ser>
          <c:idx val="0"/>
          <c:order val="0"/>
          <c:tx>
            <c:strRef>
              <c:f>'Toss Decison based on winning'!$B$3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9B-433D-95EE-0ADBDC2384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9B-433D-95EE-0ADBDC2384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Decison based on winning'!$A$4:$A$6</c:f>
              <c:strCache>
                <c:ptCount val="2"/>
                <c:pt idx="0">
                  <c:v>bat</c:v>
                </c:pt>
                <c:pt idx="1">
                  <c:v>field</c:v>
                </c:pt>
              </c:strCache>
            </c:strRef>
          </c:cat>
          <c:val>
            <c:numRef>
              <c:f>'Toss Decison based on winning'!$B$4:$B$6</c:f>
              <c:numCache>
                <c:formatCode>General</c:formatCode>
                <c:ptCount val="2"/>
                <c:pt idx="0">
                  <c:v>26</c:v>
                </c:pt>
                <c:pt idx="1">
                  <c:v>32</c:v>
                </c:pt>
              </c:numCache>
            </c:numRef>
          </c:val>
          <c:extLst>
            <c:ext xmlns:c16="http://schemas.microsoft.com/office/drawing/2014/chart" uri="{C3380CC4-5D6E-409C-BE32-E72D297353CC}">
              <c16:uniqueId val="{00000000-57D4-4DD1-9D05-3DC48C28A5E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5285651793525807"/>
          <c:y val="0.19722149314669005"/>
          <c:w val="9.8586659091295367E-2"/>
          <c:h val="0.180001259842519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win</c:name>
    <c:fmtId val="4"/>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b="1">
                <a:solidFill>
                  <a:schemeClr val="bg1"/>
                </a:solidFill>
              </a:rPr>
              <a:t>Matches</a:t>
            </a:r>
            <a:r>
              <a:rPr lang="en-IN" sz="1600" b="1" baseline="0">
                <a:solidFill>
                  <a:schemeClr val="bg1"/>
                </a:solidFill>
              </a:rPr>
              <a:t> win by teams sincebat first and field first</a:t>
            </a:r>
          </a:p>
          <a:p>
            <a:pPr>
              <a:defRPr sz="1600">
                <a:solidFill>
                  <a:schemeClr val="bg1"/>
                </a:solidFill>
              </a:defRPr>
            </a:pPr>
            <a:r>
              <a:rPr lang="en-IN" sz="1600" b="1" baseline="0">
                <a:solidFill>
                  <a:schemeClr val="bg1"/>
                </a:solidFill>
              </a:rPr>
              <a:t> 2008</a:t>
            </a:r>
            <a:endParaRPr lang="en-IN" sz="1600" b="1">
              <a:solidFill>
                <a:schemeClr val="bg1"/>
              </a:solidFill>
            </a:endParaRPr>
          </a:p>
        </c:rich>
      </c:tx>
      <c:layout>
        <c:manualLayout>
          <c:xMode val="edge"/>
          <c:yMode val="edge"/>
          <c:x val="0.26188876460080374"/>
          <c:y val="4.140201224846894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43961149241377E-2"/>
          <c:y val="0.24604904632152588"/>
          <c:w val="0.88535306749757869"/>
          <c:h val="0.39433657305098441"/>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7316-409C-9101-4ADA5B9DDC7E}"/>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7316-409C-9101-4ADA5B9DDC7E}"/>
            </c:ext>
          </c:extLst>
        </c:ser>
        <c:dLbls>
          <c:dLblPos val="ctr"/>
          <c:showLegendKey val="0"/>
          <c:showVal val="1"/>
          <c:showCatName val="0"/>
          <c:showSerName val="0"/>
          <c:showPercent val="0"/>
          <c:showBubbleSize val="0"/>
        </c:dLbls>
        <c:gapWidth val="150"/>
        <c:overlap val="100"/>
        <c:axId val="695507312"/>
        <c:axId val="695506352"/>
      </c:barChart>
      <c:catAx>
        <c:axId val="69550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95506352"/>
        <c:crosses val="autoZero"/>
        <c:auto val="1"/>
        <c:lblAlgn val="ctr"/>
        <c:lblOffset val="100"/>
        <c:noMultiLvlLbl val="0"/>
      </c:catAx>
      <c:valAx>
        <c:axId val="69550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07312"/>
        <c:crosses val="autoZero"/>
        <c:crossBetween val="between"/>
      </c:valAx>
      <c:spPr>
        <a:noFill/>
        <a:ln w="9525" cmpd="dbl">
          <a:solidFill>
            <a:schemeClr val="tx1">
              <a:lumMod val="15000"/>
              <a:lumOff val="85000"/>
            </a:schemeClr>
          </a:solidFill>
        </a:ln>
        <a:effectLst/>
      </c:spPr>
    </c:plotArea>
    <c:legend>
      <c:legendPos val="r"/>
      <c:layout>
        <c:manualLayout>
          <c:xMode val="edge"/>
          <c:yMode val="edge"/>
          <c:x val="0.77065209763218079"/>
          <c:y val="5.0917562416414583E-2"/>
          <c:w val="0.1832545931758530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Decison based on winning!PivotTable2</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200">
                <a:solidFill>
                  <a:schemeClr val="bg1"/>
                </a:solidFill>
              </a:rPr>
              <a:t>Toss</a:t>
            </a:r>
            <a:r>
              <a:rPr lang="en-US" sz="1200" baseline="0">
                <a:solidFill>
                  <a:schemeClr val="bg1"/>
                </a:solidFill>
              </a:rPr>
              <a:t> Decison based on winning</a:t>
            </a:r>
          </a:p>
          <a:p>
            <a:pPr>
              <a:defRPr>
                <a:solidFill>
                  <a:schemeClr val="bg1"/>
                </a:solidFill>
              </a:defRPr>
            </a:pPr>
            <a:endParaRPr lang="en-US">
              <a:solidFill>
                <a:schemeClr val="bg1"/>
              </a:solidFill>
            </a:endParaRPr>
          </a:p>
        </c:rich>
      </c:tx>
      <c:layout>
        <c:manualLayout>
          <c:xMode val="edge"/>
          <c:yMode val="edge"/>
          <c:x val="9.4019549784689169E-2"/>
          <c:y val="1.55540674717713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773903262092237"/>
          <c:y val="0.26092660580004184"/>
          <c:w val="0.63699775028121486"/>
          <c:h val="0.6838932901792184"/>
        </c:manualLayout>
      </c:layout>
      <c:doughnutChart>
        <c:varyColors val="1"/>
        <c:ser>
          <c:idx val="0"/>
          <c:order val="0"/>
          <c:tx>
            <c:strRef>
              <c:f>'Toss Decison based on winning'!$B$3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8B-4D7A-906B-9E76E17CB1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8B-4D7A-906B-9E76E17CB1A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Decison based on winning'!$A$4:$A$6</c:f>
              <c:strCache>
                <c:ptCount val="2"/>
                <c:pt idx="0">
                  <c:v>bat</c:v>
                </c:pt>
                <c:pt idx="1">
                  <c:v>field</c:v>
                </c:pt>
              </c:strCache>
            </c:strRef>
          </c:cat>
          <c:val>
            <c:numRef>
              <c:f>'Toss Decison based on winning'!$B$4:$B$6</c:f>
              <c:numCache>
                <c:formatCode>General</c:formatCode>
                <c:ptCount val="2"/>
                <c:pt idx="0">
                  <c:v>26</c:v>
                </c:pt>
                <c:pt idx="1">
                  <c:v>32</c:v>
                </c:pt>
              </c:numCache>
            </c:numRef>
          </c:val>
          <c:extLst>
            <c:ext xmlns:c16="http://schemas.microsoft.com/office/drawing/2014/chart" uri="{C3380CC4-5D6E-409C-BE32-E72D297353CC}">
              <c16:uniqueId val="{00000004-A18B-4D7A-906B-9E76E17CB1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7.4436865308271011E-2"/>
          <c:y val="0.11728434972021462"/>
          <c:w val="0.33071304805562257"/>
          <c:h val="0.180001259842519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Winners!Top 10 Winners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a:solidFill>
                  <a:schemeClr val="bg1"/>
                </a:solidFill>
              </a:rPr>
              <a:t>Top</a:t>
            </a:r>
            <a:r>
              <a:rPr lang="en-IN" sz="1200" b="1" baseline="0">
                <a:solidFill>
                  <a:schemeClr val="bg1"/>
                </a:solidFill>
              </a:rPr>
              <a:t> 10 Venues with most matches and winning Based on Bat &amp; Field First  </a:t>
            </a:r>
            <a:endParaRPr lang="en-IN" sz="1200" b="1">
              <a:solidFill>
                <a:schemeClr val="bg1"/>
              </a:solidFill>
            </a:endParaRPr>
          </a:p>
        </c:rich>
      </c:tx>
      <c:layout>
        <c:manualLayout>
          <c:xMode val="edge"/>
          <c:yMode val="edge"/>
          <c:x val="0.14145229462121051"/>
          <c:y val="1.1690456327211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59264761716107"/>
          <c:y val="0.20490299823633157"/>
          <c:w val="0.37708493985421632"/>
          <c:h val="0.63847157994139625"/>
        </c:manualLayout>
      </c:layout>
      <c:barChart>
        <c:barDir val="bar"/>
        <c:grouping val="stacked"/>
        <c:varyColors val="0"/>
        <c:ser>
          <c:idx val="0"/>
          <c:order val="0"/>
          <c:tx>
            <c:strRef>
              <c:f>'Top 10 Winners'!$B$3:$B$4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Winners'!$B$5:$B$14</c:f>
              <c:numCache>
                <c:formatCode>General</c:formatCode>
                <c:ptCount val="9"/>
                <c:pt idx="1">
                  <c:v>1</c:v>
                </c:pt>
                <c:pt idx="2">
                  <c:v>2</c:v>
                </c:pt>
                <c:pt idx="3">
                  <c:v>2</c:v>
                </c:pt>
                <c:pt idx="4">
                  <c:v>3</c:v>
                </c:pt>
                <c:pt idx="5">
                  <c:v>4</c:v>
                </c:pt>
                <c:pt idx="6">
                  <c:v>4</c:v>
                </c:pt>
                <c:pt idx="7">
                  <c:v>4</c:v>
                </c:pt>
                <c:pt idx="8">
                  <c:v>6</c:v>
                </c:pt>
              </c:numCache>
            </c:numRef>
          </c:val>
          <c:extLst>
            <c:ext xmlns:c16="http://schemas.microsoft.com/office/drawing/2014/chart" uri="{C3380CC4-5D6E-409C-BE32-E72D297353CC}">
              <c16:uniqueId val="{00000000-A931-4348-A8CC-41AF2C14D5AA}"/>
            </c:ext>
          </c:extLst>
        </c:ser>
        <c:ser>
          <c:idx val="1"/>
          <c:order val="1"/>
          <c:tx>
            <c:strRef>
              <c:f>'Top 10 Winners'!$C$3:$C$4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Winners'!$C$5:$C$14</c:f>
              <c:numCache>
                <c:formatCode>General</c:formatCode>
                <c:ptCount val="9"/>
                <c:pt idx="0">
                  <c:v>4</c:v>
                </c:pt>
                <c:pt idx="1">
                  <c:v>6</c:v>
                </c:pt>
                <c:pt idx="2">
                  <c:v>4</c:v>
                </c:pt>
                <c:pt idx="3">
                  <c:v>4</c:v>
                </c:pt>
                <c:pt idx="4">
                  <c:v>4</c:v>
                </c:pt>
                <c:pt idx="5">
                  <c:v>3</c:v>
                </c:pt>
                <c:pt idx="6">
                  <c:v>3</c:v>
                </c:pt>
                <c:pt idx="7">
                  <c:v>3</c:v>
                </c:pt>
                <c:pt idx="8">
                  <c:v>1</c:v>
                </c:pt>
              </c:numCache>
            </c:numRef>
          </c:val>
          <c:extLst>
            <c:ext xmlns:c16="http://schemas.microsoft.com/office/drawing/2014/chart" uri="{C3380CC4-5D6E-409C-BE32-E72D297353CC}">
              <c16:uniqueId val="{00000001-A931-4348-A8CC-41AF2C14D5AA}"/>
            </c:ext>
          </c:extLst>
        </c:ser>
        <c:dLbls>
          <c:dLblPos val="ctr"/>
          <c:showLegendKey val="0"/>
          <c:showVal val="1"/>
          <c:showCatName val="0"/>
          <c:showSerName val="0"/>
          <c:showPercent val="0"/>
          <c:showBubbleSize val="0"/>
        </c:dLbls>
        <c:gapWidth val="150"/>
        <c:overlap val="100"/>
        <c:axId val="814215904"/>
        <c:axId val="814216864"/>
      </c:barChart>
      <c:catAx>
        <c:axId val="81421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14216864"/>
        <c:crosses val="autoZero"/>
        <c:auto val="1"/>
        <c:lblAlgn val="ctr"/>
        <c:lblOffset val="100"/>
        <c:noMultiLvlLbl val="0"/>
      </c:catAx>
      <c:valAx>
        <c:axId val="814216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No of Matches</a:t>
                </a:r>
              </a:p>
            </c:rich>
          </c:tx>
          <c:layout>
            <c:manualLayout>
              <c:xMode val="edge"/>
              <c:yMode val="edge"/>
              <c:x val="0.44541126619658183"/>
              <c:y val="0.911093335555277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15904"/>
        <c:crosses val="autoZero"/>
        <c:crossBetween val="between"/>
      </c:valAx>
      <c:spPr>
        <a:noFill/>
        <a:ln>
          <a:noFill/>
        </a:ln>
        <a:effectLst/>
      </c:spPr>
    </c:plotArea>
    <c:legend>
      <c:legendPos val="r"/>
      <c:layout>
        <c:manualLayout>
          <c:xMode val="edge"/>
          <c:yMode val="edge"/>
          <c:x val="0.2329882640691712"/>
          <c:y val="0.12995230639711397"/>
          <c:w val="0.59529811838915236"/>
          <c:h val="2.47088671245557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Player of the Match</a:t>
            </a:r>
          </a:p>
          <a:p>
            <a:pPr>
              <a:defRPr>
                <a:solidFill>
                  <a:schemeClr val="bg1"/>
                </a:solidFill>
              </a:defRPr>
            </a:pPr>
            <a:endParaRPr lang="en-US">
              <a:solidFill>
                <a:schemeClr val="bg1"/>
              </a:solidFill>
            </a:endParaRPr>
          </a:p>
        </c:rich>
      </c:tx>
      <c:layout>
        <c:manualLayout>
          <c:xMode val="edge"/>
          <c:yMode val="edge"/>
          <c:x val="0.3520415573053368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'Man of the Match'!$E$4</c:f>
              <c:strCache>
                <c:ptCount val="1"/>
                <c:pt idx="0">
                  <c:v>Man of the Match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Match'!$D$5:$D$14</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'Man of the Match'!$E$5:$E$14</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59E0-44CA-975C-A10E08761605}"/>
            </c:ext>
          </c:extLst>
        </c:ser>
        <c:dLbls>
          <c:dLblPos val="outEnd"/>
          <c:showLegendKey val="0"/>
          <c:showVal val="1"/>
          <c:showCatName val="0"/>
          <c:showSerName val="0"/>
          <c:showPercent val="0"/>
          <c:showBubbleSize val="0"/>
        </c:dLbls>
        <c:gapWidth val="100"/>
        <c:overlap val="-27"/>
        <c:axId val="780447296"/>
        <c:axId val="780446336"/>
      </c:barChart>
      <c:catAx>
        <c:axId val="78044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0446336"/>
        <c:crosses val="autoZero"/>
        <c:auto val="1"/>
        <c:lblAlgn val="ctr"/>
        <c:lblOffset val="100"/>
        <c:noMultiLvlLbl val="0"/>
      </c:catAx>
      <c:valAx>
        <c:axId val="78044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4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Title Winner</a:t>
            </a:r>
          </a:p>
          <a:p>
            <a:pPr algn="ctr" rtl="0">
              <a:defRPr>
                <a:solidFill>
                  <a:schemeClr val="bg1"/>
                </a:solidFill>
              </a:defRPr>
            </a:pPr>
            <a:endParaRPr lang="en-US" sz="1400" b="0" i="0" u="none" strike="noStrike" baseline="0">
              <a:solidFill>
                <a:schemeClr val="bg1"/>
              </a:solidFill>
              <a:latin typeface="Calibri" panose="020F0502020204030204"/>
            </a:endParaRPr>
          </a:p>
        </cx:rich>
      </cx:tx>
    </cx:title>
    <cx:plotArea>
      <cx:plotAreaRegion>
        <cx:series layoutId="treemap" uniqueId="{00000000-AE96-44A5-A166-0D6E9F68C4AC}">
          <cx:dataLabels pos="inEnd">
            <cx:spPr>
              <a:effectLst>
                <a:softEdge rad="76200"/>
              </a:effectLst>
            </cx:sp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00000000-AE96-44A5-A166-0D6E9F68C4AC}">
          <cx:dataLabels pos="inEnd">
            <cx:spPr>
              <a:effectLst>
                <a:softEdge rad="76200"/>
              </a:effectLst>
            </cx:sp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13</xdr:col>
      <xdr:colOff>548640</xdr:colOff>
      <xdr:row>1</xdr:row>
      <xdr:rowOff>129540</xdr:rowOff>
    </xdr:from>
    <xdr:to>
      <xdr:col>16</xdr:col>
      <xdr:colOff>365760</xdr:colOff>
      <xdr:row>15</xdr:row>
      <xdr:rowOff>51435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FFE63F27-B20F-0515-C7D3-CCEF238076A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932920" y="327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34290</xdr:colOff>
      <xdr:row>4</xdr:row>
      <xdr:rowOff>95250</xdr:rowOff>
    </xdr:from>
    <xdr:to>
      <xdr:col>13</xdr:col>
      <xdr:colOff>99060</xdr:colOff>
      <xdr:row>18</xdr:row>
      <xdr:rowOff>64770</xdr:rowOff>
    </xdr:to>
    <xdr:graphicFrame macro="">
      <xdr:nvGraphicFramePr>
        <xdr:cNvPr id="3" name="Chart 2">
          <a:extLst>
            <a:ext uri="{FF2B5EF4-FFF2-40B4-BE49-F238E27FC236}">
              <a16:creationId xmlns:a16="http://schemas.microsoft.com/office/drawing/2014/main" id="{2FB59FB7-188F-D289-49FC-B115EDB3A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189653</xdr:rowOff>
    </xdr:from>
    <xdr:to>
      <xdr:col>6</xdr:col>
      <xdr:colOff>562610</xdr:colOff>
      <xdr:row>34</xdr:row>
      <xdr:rowOff>140124</xdr:rowOff>
    </xdr:to>
    <xdr:graphicFrame macro="">
      <xdr:nvGraphicFramePr>
        <xdr:cNvPr id="2" name="Chart 1">
          <a:extLst>
            <a:ext uri="{FF2B5EF4-FFF2-40B4-BE49-F238E27FC236}">
              <a16:creationId xmlns:a16="http://schemas.microsoft.com/office/drawing/2014/main" id="{F4F36C4F-A381-6354-63DA-43DA5A375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300990</xdr:colOff>
      <xdr:row>1</xdr:row>
      <xdr:rowOff>163830</xdr:rowOff>
    </xdr:from>
    <xdr:to>
      <xdr:col>10</xdr:col>
      <xdr:colOff>518160</xdr:colOff>
      <xdr:row>20</xdr:row>
      <xdr:rowOff>0</xdr:rowOff>
    </xdr:to>
    <xdr:graphicFrame macro="">
      <xdr:nvGraphicFramePr>
        <xdr:cNvPr id="2" name="Chart 1">
          <a:extLst>
            <a:ext uri="{FF2B5EF4-FFF2-40B4-BE49-F238E27FC236}">
              <a16:creationId xmlns:a16="http://schemas.microsoft.com/office/drawing/2014/main" id="{7CD3E411-8557-FFB9-45E2-36423B37E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167640</xdr:colOff>
      <xdr:row>3</xdr:row>
      <xdr:rowOff>114300</xdr:rowOff>
    </xdr:from>
    <xdr:to>
      <xdr:col>13</xdr:col>
      <xdr:colOff>655320</xdr:colOff>
      <xdr:row>17</xdr:row>
      <xdr:rowOff>36195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E5A9AFFD-F126-F1F5-C918-75464DE1AA6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096500" y="708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xdr:colOff>
      <xdr:row>7</xdr:row>
      <xdr:rowOff>11430</xdr:rowOff>
    </xdr:from>
    <xdr:to>
      <xdr:col>9</xdr:col>
      <xdr:colOff>99060</xdr:colOff>
      <xdr:row>19</xdr:row>
      <xdr:rowOff>15240</xdr:rowOff>
    </xdr:to>
    <xdr:graphicFrame macro="">
      <xdr:nvGraphicFramePr>
        <xdr:cNvPr id="2" name="Toss Decison based on winning">
          <a:extLst>
            <a:ext uri="{FF2B5EF4-FFF2-40B4-BE49-F238E27FC236}">
              <a16:creationId xmlns:a16="http://schemas.microsoft.com/office/drawing/2014/main" id="{48BD1E11-BDD8-74F2-061A-30E378D87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228600</xdr:colOff>
      <xdr:row>2</xdr:row>
      <xdr:rowOff>83820</xdr:rowOff>
    </xdr:from>
    <xdr:to>
      <xdr:col>13</xdr:col>
      <xdr:colOff>45720</xdr:colOff>
      <xdr:row>12</xdr:row>
      <xdr:rowOff>112395</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89A229A1-5BF0-41C0-ED19-04D3906C0100}"/>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999220" y="480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271044</xdr:colOff>
      <xdr:row>27</xdr:row>
      <xdr:rowOff>14331</xdr:rowOff>
    </xdr:from>
    <xdr:to>
      <xdr:col>5</xdr:col>
      <xdr:colOff>655319</xdr:colOff>
      <xdr:row>30</xdr:row>
      <xdr:rowOff>191408</xdr:rowOff>
    </xdr:to>
    <xdr:grpSp>
      <xdr:nvGrpSpPr>
        <xdr:cNvPr id="13" name="Group 12">
          <a:extLst>
            <a:ext uri="{FF2B5EF4-FFF2-40B4-BE49-F238E27FC236}">
              <a16:creationId xmlns:a16="http://schemas.microsoft.com/office/drawing/2014/main" id="{70A0D331-0326-D280-FE4F-F57110C7FEE4}"/>
            </a:ext>
          </a:extLst>
        </xdr:cNvPr>
        <xdr:cNvGrpSpPr/>
      </xdr:nvGrpSpPr>
      <xdr:grpSpPr>
        <a:xfrm>
          <a:off x="3242844" y="8640171"/>
          <a:ext cx="1496795" cy="771437"/>
          <a:chOff x="3037104" y="10468971"/>
          <a:chExt cx="1496795" cy="771437"/>
        </a:xfrm>
      </xdr:grpSpPr>
      <xdr:sp macro="" textlink="">
        <xdr:nvSpPr>
          <xdr:cNvPr id="5" name="Arrow: Chevron 4">
            <a:extLst>
              <a:ext uri="{FF2B5EF4-FFF2-40B4-BE49-F238E27FC236}">
                <a16:creationId xmlns:a16="http://schemas.microsoft.com/office/drawing/2014/main" id="{D2279104-0CF0-26A2-20D4-ABE71AD80D1E}"/>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0C351E32-0C7A-2CCE-9E89-0F4FDEC43FD5}"/>
              </a:ext>
            </a:extLst>
          </xdr:cNvPr>
          <xdr:cNvSpPr/>
        </xdr:nvSpPr>
        <xdr:spPr>
          <a:xfrm>
            <a:off x="3312259" y="1072079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655320</xdr:colOff>
      <xdr:row>4</xdr:row>
      <xdr:rowOff>15240</xdr:rowOff>
    </xdr:to>
    <xdr:sp macro="" textlink="">
      <xdr:nvSpPr>
        <xdr:cNvPr id="2" name="Rectangle: Rounded Corners 1">
          <a:extLst>
            <a:ext uri="{FF2B5EF4-FFF2-40B4-BE49-F238E27FC236}">
              <a16:creationId xmlns:a16="http://schemas.microsoft.com/office/drawing/2014/main" id="{5B1718F5-73B1-AFE9-6207-3F959276478F}"/>
            </a:ext>
          </a:extLst>
        </xdr:cNvPr>
        <xdr:cNvSpPr/>
      </xdr:nvSpPr>
      <xdr:spPr>
        <a:xfrm>
          <a:off x="0" y="0"/>
          <a:ext cx="40233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INDIAN PREMIER LEAGUE           ANALYSIS  	</a:t>
          </a:r>
        </a:p>
      </xdr:txBody>
    </xdr:sp>
    <xdr:clientData/>
  </xdr:twoCellAnchor>
  <xdr:twoCellAnchor>
    <xdr:from>
      <xdr:col>6</xdr:col>
      <xdr:colOff>60960</xdr:colOff>
      <xdr:row>0</xdr:row>
      <xdr:rowOff>167640</xdr:rowOff>
    </xdr:from>
    <xdr:to>
      <xdr:col>9</xdr:col>
      <xdr:colOff>563880</xdr:colOff>
      <xdr:row>4</xdr:row>
      <xdr:rowOff>154217</xdr:rowOff>
    </xdr:to>
    <xdr:grpSp>
      <xdr:nvGrpSpPr>
        <xdr:cNvPr id="3" name="Group 2">
          <a:extLst>
            <a:ext uri="{FF2B5EF4-FFF2-40B4-BE49-F238E27FC236}">
              <a16:creationId xmlns:a16="http://schemas.microsoft.com/office/drawing/2014/main" id="{10BFAFA3-1EBD-42E3-9D01-CFCA96FFF021}"/>
            </a:ext>
          </a:extLst>
        </xdr:cNvPr>
        <xdr:cNvGrpSpPr/>
      </xdr:nvGrpSpPr>
      <xdr:grpSpPr>
        <a:xfrm>
          <a:off x="4099560" y="167640"/>
          <a:ext cx="2514600" cy="779057"/>
          <a:chOff x="3037104" y="10468971"/>
          <a:chExt cx="1496795" cy="779057"/>
        </a:xfrm>
      </xdr:grpSpPr>
      <xdr:sp macro="" textlink="KPI!D4">
        <xdr:nvSpPr>
          <xdr:cNvPr id="4" name="Arrow: Chevron 3">
            <a:extLst>
              <a:ext uri="{FF2B5EF4-FFF2-40B4-BE49-F238E27FC236}">
                <a16:creationId xmlns:a16="http://schemas.microsoft.com/office/drawing/2014/main" id="{BC40E128-4C72-9899-C938-631F38817021}"/>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BF2DAC77-65EA-4E8C-AB48-11AA0A11A311}" type="TxLink">
              <a:rPr lang="en-US" sz="1400" b="1" i="0" u="none" strike="noStrike">
                <a:solidFill>
                  <a:schemeClr val="bg2"/>
                </a:solidFill>
                <a:latin typeface="Calibri"/>
                <a:ea typeface="Calibri"/>
                <a:cs typeface="Calibri"/>
              </a:rPr>
              <a:pPr algn="ctr"/>
              <a:t>Season</a:t>
            </a:fld>
            <a:endParaRPr lang="en-IN" sz="1400">
              <a:solidFill>
                <a:schemeClr val="bg2"/>
              </a:solidFill>
            </a:endParaRPr>
          </a:p>
        </xdr:txBody>
      </xdr:sp>
      <xdr:sp macro="" textlink="KPI!D5">
        <xdr:nvSpPr>
          <xdr:cNvPr id="5" name="Freeform: Shape 4">
            <a:extLst>
              <a:ext uri="{FF2B5EF4-FFF2-40B4-BE49-F238E27FC236}">
                <a16:creationId xmlns:a16="http://schemas.microsoft.com/office/drawing/2014/main" id="{72B40A9D-F9A8-42F2-285A-34DBC6C0C86A}"/>
              </a:ext>
            </a:extLst>
          </xdr:cNvPr>
          <xdr:cNvSpPr/>
        </xdr:nvSpPr>
        <xdr:spPr>
          <a:xfrm>
            <a:off x="3321331" y="1072841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C8D0BFD-9372-48F4-AE5A-FE099BCE76CD}" type="TxLink">
              <a:rPr lang="en-US" sz="1600" b="1" i="0" u="none" strike="noStrike" kern="1200">
                <a:solidFill>
                  <a:sysClr val="windowText" lastClr="000000"/>
                </a:solidFill>
                <a:latin typeface="Calibri"/>
                <a:ea typeface="Calibri"/>
                <a:cs typeface="Calibri"/>
              </a:rPr>
              <a:pPr marL="0" lvl="0" indent="0" algn="ctr" defTabSz="755650">
                <a:lnSpc>
                  <a:spcPct val="90000"/>
                </a:lnSpc>
                <a:spcBef>
                  <a:spcPct val="0"/>
                </a:spcBef>
                <a:spcAft>
                  <a:spcPct val="35000"/>
                </a:spcAft>
                <a:buNone/>
              </a:pPr>
              <a:t>IPL-2008</a:t>
            </a:fld>
            <a:endParaRPr lang="en-IN" sz="1600" b="1" kern="1200">
              <a:solidFill>
                <a:sysClr val="windowText" lastClr="000000"/>
              </a:solidFill>
            </a:endParaRPr>
          </a:p>
        </xdr:txBody>
      </xdr:sp>
    </xdr:grpSp>
    <xdr:clientData/>
  </xdr:twoCellAnchor>
  <xdr:twoCellAnchor>
    <xdr:from>
      <xdr:col>9</xdr:col>
      <xdr:colOff>647700</xdr:colOff>
      <xdr:row>0</xdr:row>
      <xdr:rowOff>190500</xdr:rowOff>
    </xdr:from>
    <xdr:to>
      <xdr:col>13</xdr:col>
      <xdr:colOff>480060</xdr:colOff>
      <xdr:row>4</xdr:row>
      <xdr:rowOff>184697</xdr:rowOff>
    </xdr:to>
    <xdr:grpSp>
      <xdr:nvGrpSpPr>
        <xdr:cNvPr id="6" name="Group 5">
          <a:extLst>
            <a:ext uri="{FF2B5EF4-FFF2-40B4-BE49-F238E27FC236}">
              <a16:creationId xmlns:a16="http://schemas.microsoft.com/office/drawing/2014/main" id="{F48F1835-F0B2-4D60-9C02-A13D74A1EAF9}"/>
            </a:ext>
          </a:extLst>
        </xdr:cNvPr>
        <xdr:cNvGrpSpPr/>
      </xdr:nvGrpSpPr>
      <xdr:grpSpPr>
        <a:xfrm>
          <a:off x="6697980" y="190500"/>
          <a:ext cx="2514600" cy="786677"/>
          <a:chOff x="3037104" y="10468971"/>
          <a:chExt cx="1496795" cy="786677"/>
        </a:xfrm>
      </xdr:grpSpPr>
      <xdr:sp macro="" textlink="KPI!E4">
        <xdr:nvSpPr>
          <xdr:cNvPr id="7" name="Arrow: Chevron 6">
            <a:extLst>
              <a:ext uri="{FF2B5EF4-FFF2-40B4-BE49-F238E27FC236}">
                <a16:creationId xmlns:a16="http://schemas.microsoft.com/office/drawing/2014/main" id="{0EAB4281-3F78-4EE6-F3E9-97EC5AA8DD97}"/>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476CB250-AF70-4BDD-831B-2FB46D1D6328}" type="TxLink">
              <a:rPr lang="en-US" sz="1400" b="1" i="0" u="none" strike="noStrike">
                <a:solidFill>
                  <a:schemeClr val="bg1"/>
                </a:solidFill>
                <a:latin typeface="Calibri"/>
                <a:ea typeface="Calibri"/>
                <a:cs typeface="Calibri"/>
              </a:rPr>
              <a:pPr algn="ctr"/>
              <a:t>Winner</a:t>
            </a:fld>
            <a:endParaRPr lang="en-IN" sz="1400">
              <a:solidFill>
                <a:schemeClr val="bg1"/>
              </a:solidFill>
            </a:endParaRPr>
          </a:p>
        </xdr:txBody>
      </xdr:sp>
      <xdr:sp macro="" textlink="KPI!E5">
        <xdr:nvSpPr>
          <xdr:cNvPr id="8" name="Freeform: Shape 7">
            <a:extLst>
              <a:ext uri="{FF2B5EF4-FFF2-40B4-BE49-F238E27FC236}">
                <a16:creationId xmlns:a16="http://schemas.microsoft.com/office/drawing/2014/main" id="{7CC0D22D-0A4D-6CA7-3779-61C68B247D74}"/>
              </a:ext>
            </a:extLst>
          </xdr:cNvPr>
          <xdr:cNvSpPr/>
        </xdr:nvSpPr>
        <xdr:spPr>
          <a:xfrm>
            <a:off x="3312259" y="1073603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4829ADC-8BFA-4346-B0B3-46D9F99F9205}" type="TxLink">
              <a:rPr lang="en-US" sz="16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Rajasthan Royals</a:t>
            </a:fld>
            <a:endParaRPr lang="en-IN" sz="1600" b="1" kern="1200"/>
          </a:p>
        </xdr:txBody>
      </xdr:sp>
    </xdr:grpSp>
    <xdr:clientData/>
  </xdr:twoCellAnchor>
  <xdr:twoCellAnchor>
    <xdr:from>
      <xdr:col>13</xdr:col>
      <xdr:colOff>388620</xdr:colOff>
      <xdr:row>1</xdr:row>
      <xdr:rowOff>0</xdr:rowOff>
    </xdr:from>
    <xdr:to>
      <xdr:col>17</xdr:col>
      <xdr:colOff>220980</xdr:colOff>
      <xdr:row>4</xdr:row>
      <xdr:rowOff>177077</xdr:rowOff>
    </xdr:to>
    <xdr:grpSp>
      <xdr:nvGrpSpPr>
        <xdr:cNvPr id="9" name="Group 8">
          <a:extLst>
            <a:ext uri="{FF2B5EF4-FFF2-40B4-BE49-F238E27FC236}">
              <a16:creationId xmlns:a16="http://schemas.microsoft.com/office/drawing/2014/main" id="{6DDB6785-B864-419F-B498-59CC97B1802C}"/>
            </a:ext>
          </a:extLst>
        </xdr:cNvPr>
        <xdr:cNvGrpSpPr/>
      </xdr:nvGrpSpPr>
      <xdr:grpSpPr>
        <a:xfrm>
          <a:off x="9121140" y="198120"/>
          <a:ext cx="2514600" cy="771437"/>
          <a:chOff x="3037104" y="10468971"/>
          <a:chExt cx="1496795" cy="771437"/>
        </a:xfrm>
      </xdr:grpSpPr>
      <xdr:sp macro="" textlink="KPI!F4">
        <xdr:nvSpPr>
          <xdr:cNvPr id="10" name="Arrow: Chevron 9">
            <a:extLst>
              <a:ext uri="{FF2B5EF4-FFF2-40B4-BE49-F238E27FC236}">
                <a16:creationId xmlns:a16="http://schemas.microsoft.com/office/drawing/2014/main" id="{E096D16A-7171-AA73-C6DC-EFEDDD2A9672}"/>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E4DE339-84E7-4560-8A53-3EE5F20559F9}" type="TxLink">
              <a:rPr lang="en-US" sz="1400" b="1" i="0" u="none" strike="noStrike">
                <a:solidFill>
                  <a:schemeClr val="bg1"/>
                </a:solidFill>
                <a:latin typeface="Calibri"/>
                <a:ea typeface="Calibri"/>
                <a:cs typeface="Calibri"/>
              </a:rPr>
              <a:pPr algn="ctr"/>
              <a:t>Runner Up</a:t>
            </a:fld>
            <a:endParaRPr lang="en-IN" sz="1400">
              <a:solidFill>
                <a:schemeClr val="bg1"/>
              </a:solidFill>
            </a:endParaRPr>
          </a:p>
        </xdr:txBody>
      </xdr:sp>
      <xdr:sp macro="" textlink="KPI!F5">
        <xdr:nvSpPr>
          <xdr:cNvPr id="11" name="Freeform: Shape 10">
            <a:extLst>
              <a:ext uri="{FF2B5EF4-FFF2-40B4-BE49-F238E27FC236}">
                <a16:creationId xmlns:a16="http://schemas.microsoft.com/office/drawing/2014/main" id="{611794AC-4D36-0A0C-7D60-525CCA3206D8}"/>
              </a:ext>
            </a:extLst>
          </xdr:cNvPr>
          <xdr:cNvSpPr/>
        </xdr:nvSpPr>
        <xdr:spPr>
          <a:xfrm>
            <a:off x="3312259" y="1072079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4496755-03E9-45CD-B088-87AF8C0DDD35}" type="TxLink">
              <a:rPr lang="en-US" sz="14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400" b="1" kern="1200"/>
          </a:p>
        </xdr:txBody>
      </xdr:sp>
    </xdr:grpSp>
    <xdr:clientData/>
  </xdr:twoCellAnchor>
  <xdr:twoCellAnchor>
    <xdr:from>
      <xdr:col>17</xdr:col>
      <xdr:colOff>220980</xdr:colOff>
      <xdr:row>0</xdr:row>
      <xdr:rowOff>182880</xdr:rowOff>
    </xdr:from>
    <xdr:to>
      <xdr:col>21</xdr:col>
      <xdr:colOff>53340</xdr:colOff>
      <xdr:row>4</xdr:row>
      <xdr:rowOff>161837</xdr:rowOff>
    </xdr:to>
    <xdr:grpSp>
      <xdr:nvGrpSpPr>
        <xdr:cNvPr id="12" name="Group 11">
          <a:extLst>
            <a:ext uri="{FF2B5EF4-FFF2-40B4-BE49-F238E27FC236}">
              <a16:creationId xmlns:a16="http://schemas.microsoft.com/office/drawing/2014/main" id="{4CB88A9A-4DFB-4C3B-8AB4-C3BF746B898B}"/>
            </a:ext>
          </a:extLst>
        </xdr:cNvPr>
        <xdr:cNvGrpSpPr/>
      </xdr:nvGrpSpPr>
      <xdr:grpSpPr>
        <a:xfrm>
          <a:off x="11635740" y="182880"/>
          <a:ext cx="2514600" cy="771437"/>
          <a:chOff x="3037104" y="10468971"/>
          <a:chExt cx="1496795" cy="771437"/>
        </a:xfrm>
      </xdr:grpSpPr>
      <xdr:sp macro="" textlink="KPI!H4">
        <xdr:nvSpPr>
          <xdr:cNvPr id="13" name="Arrow: Chevron 12">
            <a:extLst>
              <a:ext uri="{FF2B5EF4-FFF2-40B4-BE49-F238E27FC236}">
                <a16:creationId xmlns:a16="http://schemas.microsoft.com/office/drawing/2014/main" id="{3DD5264A-B818-EC00-982D-3C89D5702222}"/>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5E58F075-9EC8-41E5-B308-688ABA8ABD83}" type="TxLink">
              <a:rPr lang="en-US" sz="1400" b="1" i="0" u="none" strike="noStrike">
                <a:solidFill>
                  <a:schemeClr val="bg1"/>
                </a:solidFill>
                <a:latin typeface="Calibri"/>
                <a:ea typeface="Calibri"/>
                <a:cs typeface="Calibri"/>
              </a:rPr>
              <a:pPr algn="ctr"/>
              <a:t>Player of the Series</a:t>
            </a:fld>
            <a:endParaRPr lang="en-IN" sz="1400">
              <a:solidFill>
                <a:schemeClr val="bg1"/>
              </a:solidFill>
            </a:endParaRPr>
          </a:p>
        </xdr:txBody>
      </xdr:sp>
      <xdr:sp macro="" textlink="KPI!H5">
        <xdr:nvSpPr>
          <xdr:cNvPr id="14" name="Freeform: Shape 13">
            <a:extLst>
              <a:ext uri="{FF2B5EF4-FFF2-40B4-BE49-F238E27FC236}">
                <a16:creationId xmlns:a16="http://schemas.microsoft.com/office/drawing/2014/main" id="{823779D6-E05A-6E81-1346-9BCAFBA9DD31}"/>
              </a:ext>
            </a:extLst>
          </xdr:cNvPr>
          <xdr:cNvSpPr/>
        </xdr:nvSpPr>
        <xdr:spPr>
          <a:xfrm>
            <a:off x="3312259" y="1072079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3F501DB-4ED5-4361-BA0F-0942EBF2F831}" type="TxLink">
              <a:rPr lang="en-US" sz="14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Shane Watson</a:t>
            </a:fld>
            <a:endParaRPr lang="en-IN" sz="1400" b="1" kern="1200"/>
          </a:p>
        </xdr:txBody>
      </xdr:sp>
    </xdr:grpSp>
    <xdr:clientData/>
  </xdr:twoCellAnchor>
  <xdr:twoCellAnchor editAs="oneCell">
    <xdr:from>
      <xdr:col>0</xdr:col>
      <xdr:colOff>0</xdr:colOff>
      <xdr:row>5</xdr:row>
      <xdr:rowOff>45720</xdr:rowOff>
    </xdr:from>
    <xdr:to>
      <xdr:col>21</xdr:col>
      <xdr:colOff>0</xdr:colOff>
      <xdr:row>33</xdr:row>
      <xdr:rowOff>106680</xdr:rowOff>
    </xdr:to>
    <xdr:pic>
      <xdr:nvPicPr>
        <xdr:cNvPr id="21" name="Picture 20" descr="Ipl Background Vector Art, Icons, and Graphics for Free Download">
          <a:extLst>
            <a:ext uri="{FF2B5EF4-FFF2-40B4-BE49-F238E27FC236}">
              <a16:creationId xmlns:a16="http://schemas.microsoft.com/office/drawing/2014/main" id="{2858D664-EFDB-E34A-479F-954C8781BC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36320"/>
          <a:ext cx="14097000" cy="5608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1</xdr:rowOff>
    </xdr:from>
    <xdr:to>
      <xdr:col>21</xdr:col>
      <xdr:colOff>15240</xdr:colOff>
      <xdr:row>7</xdr:row>
      <xdr:rowOff>76200</xdr:rowOff>
    </xdr:to>
    <mc:AlternateContent xmlns:mc="http://schemas.openxmlformats.org/markup-compatibility/2006" xmlns:a14="http://schemas.microsoft.com/office/drawing/2010/main">
      <mc:Choice Requires="a14">
        <xdr:graphicFrame macro="">
          <xdr:nvGraphicFramePr>
            <xdr:cNvPr id="15" name="Season 3">
              <a:extLst>
                <a:ext uri="{FF2B5EF4-FFF2-40B4-BE49-F238E27FC236}">
                  <a16:creationId xmlns:a16="http://schemas.microsoft.com/office/drawing/2014/main" id="{CF2E62EE-96CA-4F46-8F9F-B3EF9F64440E}"/>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0" y="990601"/>
              <a:ext cx="14112240" cy="472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83820</xdr:rowOff>
    </xdr:from>
    <xdr:to>
      <xdr:col>12</xdr:col>
      <xdr:colOff>144780</xdr:colOff>
      <xdr:row>21</xdr:row>
      <xdr:rowOff>53340</xdr:rowOff>
    </xdr:to>
    <xdr:graphicFrame macro="">
      <xdr:nvGraphicFramePr>
        <xdr:cNvPr id="16" name="Chart 15">
          <a:extLst>
            <a:ext uri="{FF2B5EF4-FFF2-40B4-BE49-F238E27FC236}">
              <a16:creationId xmlns:a16="http://schemas.microsoft.com/office/drawing/2014/main" id="{9348FD3A-9E63-462A-A18A-580F7A3C0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167640</xdr:colOff>
      <xdr:row>7</xdr:row>
      <xdr:rowOff>76200</xdr:rowOff>
    </xdr:from>
    <xdr:to>
      <xdr:col>16</xdr:col>
      <xdr:colOff>152400</xdr:colOff>
      <xdr:row>21</xdr:row>
      <xdr:rowOff>38100</xdr:rowOff>
    </xdr:to>
    <xdr:graphicFrame macro="">
      <xdr:nvGraphicFramePr>
        <xdr:cNvPr id="17" name="Toss Decison based on winning">
          <a:extLst>
            <a:ext uri="{FF2B5EF4-FFF2-40B4-BE49-F238E27FC236}">
              <a16:creationId xmlns:a16="http://schemas.microsoft.com/office/drawing/2014/main" id="{7E5FB1C4-A305-43F7-9402-05A51924A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167640</xdr:colOff>
      <xdr:row>7</xdr:row>
      <xdr:rowOff>45720</xdr:rowOff>
    </xdr:from>
    <xdr:to>
      <xdr:col>20</xdr:col>
      <xdr:colOff>662940</xdr:colOff>
      <xdr:row>34</xdr:row>
      <xdr:rowOff>152400</xdr:rowOff>
    </xdr:to>
    <xdr:graphicFrame macro="">
      <xdr:nvGraphicFramePr>
        <xdr:cNvPr id="18" name="Chart 17">
          <a:extLst>
            <a:ext uri="{FF2B5EF4-FFF2-40B4-BE49-F238E27FC236}">
              <a16:creationId xmlns:a16="http://schemas.microsoft.com/office/drawing/2014/main" id="{E472A911-1470-4CD6-8EF2-478B57862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21</xdr:row>
      <xdr:rowOff>91440</xdr:rowOff>
    </xdr:from>
    <xdr:to>
      <xdr:col>6</xdr:col>
      <xdr:colOff>106680</xdr:colOff>
      <xdr:row>33</xdr:row>
      <xdr:rowOff>76200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B04F0015-96AB-4919-B2FB-24BF11B0D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620" y="4251960"/>
              <a:ext cx="4137660" cy="2362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91440</xdr:colOff>
      <xdr:row>21</xdr:row>
      <xdr:rowOff>83820</xdr:rowOff>
    </xdr:from>
    <xdr:to>
      <xdr:col>16</xdr:col>
      <xdr:colOff>114300</xdr:colOff>
      <xdr:row>33</xdr:row>
      <xdr:rowOff>114300</xdr:rowOff>
    </xdr:to>
    <xdr:graphicFrame macro="">
      <xdr:nvGraphicFramePr>
        <xdr:cNvPr id="20" name="Chart 19">
          <a:extLst>
            <a:ext uri="{FF2B5EF4-FFF2-40B4-BE49-F238E27FC236}">
              <a16:creationId xmlns:a16="http://schemas.microsoft.com/office/drawing/2014/main" id="{9ECA5755-43DF-46CC-A9C5-7252D7EAB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651510</xdr:colOff>
      <xdr:row>11</xdr:row>
      <xdr:rowOff>19050</xdr:rowOff>
    </xdr:from>
    <xdr:to>
      <xdr:col>11</xdr:col>
      <xdr:colOff>365760</xdr:colOff>
      <xdr:row>24</xdr:row>
      <xdr:rowOff>186690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B7D54DC-6DA7-A45F-C801-DF3C8BC95E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97630" y="2198370"/>
              <a:ext cx="507873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refreshedDate="46188.748554282407" createdVersion="8" refreshedVersion="8" minRefreshableVersion="3" recordCount="696" xr:uid="{E1F419A7-E298-405D-8324-9456DCF60578}">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08"/>
        <s v="IPL-2009"/>
        <s v="IPL-2010"/>
        <s v="IPL-2011"/>
        <s v="IPL-2012"/>
        <s v="IPL-2013"/>
        <s v="IPL-2014"/>
        <s v="IPL-2015"/>
        <s v="IPL-2016"/>
        <s v="IPL-2017"/>
        <s v="IPL-2018"/>
      </sharedItems>
    </cacheField>
    <cacheField name="date" numFmtId="14">
      <sharedItems containsSemiMixedTypes="0" containsNonDate="0" containsDate="1" containsString="0" minDate="2008-04-18T00:00:00" maxDate="2018-05-28T00:00:00"/>
    </cacheField>
    <cacheField name="player_of_match" numFmtId="0">
      <sharedItems containsBlank="1" count="215">
        <s v="BB McCullum"/>
        <s v="MEK Hussey"/>
        <s v="MF Maharoof"/>
        <s v="MV Boucher"/>
        <s v="DJ Hussey"/>
        <s v="SR Watson"/>
        <s v="V Sehwag"/>
        <s v="ML Hayden"/>
        <s v="YK Pathan"/>
        <s v="KC Sangakkara"/>
        <s v="JDP Oram"/>
        <s v="AC Gilchrist"/>
        <s v="SM Katich"/>
        <s v="MS Dhoni"/>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K Raina"/>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m/>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AD Russell"/>
        <s v="MA Agarwa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 Archer"/>
        <s v="AS Rajpoot"/>
        <s v="TG Southee"/>
        <s v="AS Yadav"/>
        <s v="M Ur Rahman"/>
        <s v="Ishan Kishan"/>
        <s v="Kuldeep Yadav"/>
        <s v="S Gopal"/>
        <s v="L Ngidi"/>
      </sharedItems>
    </cacheField>
    <cacheField name="venue" numFmtId="0">
      <sharedItems count="35">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haredItems>
    </cacheField>
    <cacheField name="team1" numFmtId="0">
      <sharedItems/>
    </cacheField>
    <cacheField name="team2" numFmtId="0">
      <sharedItems/>
    </cacheField>
    <cacheField name="toss_winner" numFmtId="0">
      <sharedItems count="13">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
      </sharedItems>
    </cacheField>
    <cacheField name="toss_decision" numFmtId="0">
      <sharedItems count="2">
        <s v="field"/>
        <s v="bat"/>
      </sharedItems>
    </cacheField>
    <cacheField name="result" numFmtId="0">
      <sharedItems/>
    </cacheField>
    <cacheField name="winner" numFmtId="0">
      <sharedItems count="14">
        <s v="Kolkata Knight Riders"/>
        <s v="Chennai Super Kings"/>
        <s v="Delhi Daredevils"/>
        <s v="Royal Challengers Bangalore"/>
        <s v="Rajasthan Royals"/>
        <s v="Kings XI Punjab"/>
        <s v="Deccan Chargers"/>
        <s v="Mumbai Indians"/>
        <s v="Pune Warriors"/>
        <s v="Kochi Tuskers Kerala"/>
        <s v="No Result"/>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8544734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refreshedDate="46188.890425115744" createdVersion="8" refreshedVersion="8" minRefreshableVersion="3" recordCount="11" xr:uid="{2585C855-5527-442E-B607-C30A0F7FDB8B}">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60"/>
    <s v="Bangalore"/>
    <x v="0"/>
    <d v="2008-04-18T00:00:00"/>
    <x v="0"/>
    <x v="0"/>
    <s v="Kolkata Knight Riders"/>
    <s v="Royal Challengers Bangalore"/>
    <x v="0"/>
    <x v="0"/>
    <s v="normal"/>
    <x v="0"/>
    <n v="140"/>
    <n v="0"/>
    <s v="Asad Rauf"/>
    <s v="RE Koertzen"/>
  </r>
  <r>
    <n v="61"/>
    <s v="Chandigarh"/>
    <x v="0"/>
    <d v="2008-04-19T00:00:00"/>
    <x v="1"/>
    <x v="1"/>
    <s v="Chennai Super Kings"/>
    <s v="Kings XI Punjab"/>
    <x v="1"/>
    <x v="1"/>
    <s v="normal"/>
    <x v="1"/>
    <n v="33"/>
    <n v="0"/>
    <s v="MR Benson"/>
    <s v="SL Shastri"/>
  </r>
  <r>
    <n v="62"/>
    <s v="Delhi"/>
    <x v="0"/>
    <d v="2008-04-19T00:00:00"/>
    <x v="2"/>
    <x v="2"/>
    <s v="Rajasthan Royals"/>
    <s v="Delhi Daredevils"/>
    <x v="2"/>
    <x v="1"/>
    <s v="normal"/>
    <x v="2"/>
    <n v="0"/>
    <n v="9"/>
    <s v="Aleem Dar"/>
    <s v="GA Pratapkumar"/>
  </r>
  <r>
    <n v="63"/>
    <s v="Mumbai"/>
    <x v="0"/>
    <d v="2008-04-20T00:00:00"/>
    <x v="3"/>
    <x v="3"/>
    <s v="Mumbai Indians"/>
    <s v="Royal Challengers Bangalore"/>
    <x v="3"/>
    <x v="1"/>
    <s v="normal"/>
    <x v="3"/>
    <n v="0"/>
    <n v="5"/>
    <s v="SJ Davis"/>
    <s v="DJ Harper"/>
  </r>
  <r>
    <n v="64"/>
    <s v="Kolkata"/>
    <x v="0"/>
    <d v="2008-04-20T00:00:00"/>
    <x v="4"/>
    <x v="4"/>
    <s v="Deccan Chargers"/>
    <s v="Kolkata Knight Riders"/>
    <x v="4"/>
    <x v="1"/>
    <s v="normal"/>
    <x v="0"/>
    <n v="0"/>
    <n v="5"/>
    <s v="BF Bowden"/>
    <s v="K Hariharan"/>
  </r>
  <r>
    <n v="65"/>
    <s v="Jaipur"/>
    <x v="0"/>
    <d v="2008-04-21T00:00:00"/>
    <x v="5"/>
    <x v="5"/>
    <s v="Kings XI Punjab"/>
    <s v="Rajasthan Royals"/>
    <x v="5"/>
    <x v="1"/>
    <s v="normal"/>
    <x v="4"/>
    <n v="0"/>
    <n v="6"/>
    <s v="Aleem Dar"/>
    <s v="RB Tiffin"/>
  </r>
  <r>
    <n v="66"/>
    <s v="Hyderabad"/>
    <x v="0"/>
    <d v="2008-04-22T00:00:00"/>
    <x v="6"/>
    <x v="6"/>
    <s v="Deccan Chargers"/>
    <s v="Delhi Daredevils"/>
    <x v="4"/>
    <x v="1"/>
    <s v="normal"/>
    <x v="2"/>
    <n v="0"/>
    <n v="9"/>
    <s v="IL Howell"/>
    <s v="AM Saheba"/>
  </r>
  <r>
    <n v="67"/>
    <s v="Chennai"/>
    <x v="0"/>
    <d v="2008-04-23T00:00:00"/>
    <x v="7"/>
    <x v="7"/>
    <s v="Chennai Super Kings"/>
    <s v="Mumbai Indians"/>
    <x v="3"/>
    <x v="0"/>
    <s v="normal"/>
    <x v="1"/>
    <n v="6"/>
    <n v="0"/>
    <s v="DJ Harper"/>
    <s v="GA Pratapkumar"/>
  </r>
  <r>
    <n v="68"/>
    <s v="Hyderabad"/>
    <x v="0"/>
    <d v="2008-04-24T00:00:00"/>
    <x v="8"/>
    <x v="6"/>
    <s v="Deccan Chargers"/>
    <s v="Rajasthan Royals"/>
    <x v="2"/>
    <x v="0"/>
    <s v="normal"/>
    <x v="4"/>
    <n v="0"/>
    <n v="3"/>
    <s v="Asad Rauf"/>
    <s v="MR Benson"/>
  </r>
  <r>
    <n v="69"/>
    <s v="Chandigarh"/>
    <x v="0"/>
    <d v="2008-04-25T00:00:00"/>
    <x v="9"/>
    <x v="1"/>
    <s v="Kings XI Punjab"/>
    <s v="Mumbai Indians"/>
    <x v="3"/>
    <x v="0"/>
    <s v="normal"/>
    <x v="5"/>
    <n v="66"/>
    <n v="0"/>
    <s v="Aleem Dar"/>
    <s v="AM Saheba"/>
  </r>
  <r>
    <n v="70"/>
    <s v="Bangalore"/>
    <x v="0"/>
    <d v="2008-04-26T00:00:00"/>
    <x v="5"/>
    <x v="0"/>
    <s v="Royal Challengers Bangalore"/>
    <s v="Rajasthan Royals"/>
    <x v="2"/>
    <x v="0"/>
    <s v="normal"/>
    <x v="4"/>
    <n v="0"/>
    <n v="7"/>
    <s v="MR Benson"/>
    <s v="IL Howell"/>
  </r>
  <r>
    <n v="71"/>
    <s v="Chennai"/>
    <x v="0"/>
    <d v="2008-04-26T00:00:00"/>
    <x v="10"/>
    <x v="7"/>
    <s v="Kolkata Knight Riders"/>
    <s v="Chennai Super Kings"/>
    <x v="6"/>
    <x v="1"/>
    <s v="normal"/>
    <x v="1"/>
    <n v="0"/>
    <n v="9"/>
    <s v="BF Bowden"/>
    <s v="AV Jayaprakash"/>
  </r>
  <r>
    <n v="72"/>
    <s v="Mumbai"/>
    <x v="0"/>
    <d v="2008-04-27T00:00:00"/>
    <x v="11"/>
    <x v="8"/>
    <s v="Mumbai Indians"/>
    <s v="Deccan Chargers"/>
    <x v="4"/>
    <x v="0"/>
    <s v="normal"/>
    <x v="6"/>
    <n v="0"/>
    <n v="10"/>
    <s v="Asad Rauf"/>
    <s v="SL Shastri"/>
  </r>
  <r>
    <n v="73"/>
    <s v="Chandigarh"/>
    <x v="0"/>
    <d v="2008-04-27T00:00:00"/>
    <x v="12"/>
    <x v="1"/>
    <s v="Delhi Daredevils"/>
    <s v="Kings XI Punjab"/>
    <x v="7"/>
    <x v="1"/>
    <s v="normal"/>
    <x v="5"/>
    <n v="0"/>
    <n v="4"/>
    <s v="RE Koertzen"/>
    <s v="I Shivram"/>
  </r>
  <r>
    <n v="74"/>
    <s v="Bangalore"/>
    <x v="0"/>
    <d v="2008-04-28T00:00:00"/>
    <x v="13"/>
    <x v="0"/>
    <s v="Chennai Super Kings"/>
    <s v="Royal Challengers Bangalore"/>
    <x v="1"/>
    <x v="1"/>
    <s v="normal"/>
    <x v="1"/>
    <n v="13"/>
    <n v="0"/>
    <s v="BR Doctrove"/>
    <s v="RB Tiffin"/>
  </r>
  <r>
    <n v="75"/>
    <s v="Kolkata"/>
    <x v="0"/>
    <d v="2008-04-29T00:00:00"/>
    <x v="14"/>
    <x v="4"/>
    <s v="Kolkata Knight Riders"/>
    <s v="Mumbai Indians"/>
    <x v="6"/>
    <x v="1"/>
    <s v="normal"/>
    <x v="7"/>
    <n v="0"/>
    <n v="7"/>
    <s v="BF Bowden"/>
    <s v="AV Jayaprakash"/>
  </r>
  <r>
    <n v="76"/>
    <s v="Delhi"/>
    <x v="0"/>
    <d v="2008-04-30T00:00:00"/>
    <x v="15"/>
    <x v="2"/>
    <s v="Delhi Daredevils"/>
    <s v="Royal Challengers Bangalore"/>
    <x v="0"/>
    <x v="0"/>
    <s v="normal"/>
    <x v="2"/>
    <n v="10"/>
    <n v="0"/>
    <s v="Aleem Dar"/>
    <s v="I Shivram"/>
  </r>
  <r>
    <n v="77"/>
    <s v="Hyderabad"/>
    <x v="0"/>
    <d v="2008-05-01T00:00:00"/>
    <x v="16"/>
    <x v="6"/>
    <s v="Deccan Chargers"/>
    <s v="Kings XI Punjab"/>
    <x v="5"/>
    <x v="0"/>
    <s v="normal"/>
    <x v="5"/>
    <n v="0"/>
    <n v="7"/>
    <s v="BR Doctrove"/>
    <s v="RB Tiffin"/>
  </r>
  <r>
    <n v="78"/>
    <s v="Jaipur"/>
    <x v="0"/>
    <d v="2008-05-01T00:00:00"/>
    <x v="17"/>
    <x v="5"/>
    <s v="Rajasthan Royals"/>
    <s v="Kolkata Knight Riders"/>
    <x v="2"/>
    <x v="1"/>
    <s v="normal"/>
    <x v="4"/>
    <n v="45"/>
    <n v="0"/>
    <s v="RE Koertzen"/>
    <s v="GA Pratapkumar"/>
  </r>
  <r>
    <n v="79"/>
    <s v="Chennai"/>
    <x v="0"/>
    <d v="2008-05-02T00:00:00"/>
    <x v="6"/>
    <x v="7"/>
    <s v="Chennai Super Kings"/>
    <s v="Delhi Daredevils"/>
    <x v="1"/>
    <x v="1"/>
    <s v="normal"/>
    <x v="2"/>
    <n v="0"/>
    <n v="8"/>
    <s v="BF Bowden"/>
    <s v="K Hariharan"/>
  </r>
  <r>
    <n v="80"/>
    <s v="Hyderabad"/>
    <x v="0"/>
    <d v="2008-05-25T00:00:00"/>
    <x v="18"/>
    <x v="6"/>
    <s v="Deccan Chargers"/>
    <s v="Royal Challengers Bangalore"/>
    <x v="4"/>
    <x v="1"/>
    <s v="normal"/>
    <x v="3"/>
    <n v="0"/>
    <n v="5"/>
    <s v="Asad Rauf"/>
    <s v="RE Koertzen"/>
  </r>
  <r>
    <n v="81"/>
    <s v="Chandigarh"/>
    <x v="0"/>
    <d v="2008-05-03T00:00:00"/>
    <x v="19"/>
    <x v="1"/>
    <s v="Kings XI Punjab"/>
    <s v="Kolkata Knight Riders"/>
    <x v="5"/>
    <x v="1"/>
    <s v="normal"/>
    <x v="5"/>
    <n v="9"/>
    <n v="0"/>
    <s v="DJ Harper"/>
    <s v="I Shivram"/>
  </r>
  <r>
    <n v="82"/>
    <s v="Mumbai"/>
    <x v="0"/>
    <d v="2008-05-04T00:00:00"/>
    <x v="20"/>
    <x v="8"/>
    <s v="Mumbai Indians"/>
    <s v="Delhi Daredevils"/>
    <x v="7"/>
    <x v="0"/>
    <s v="normal"/>
    <x v="7"/>
    <n v="29"/>
    <n v="0"/>
    <s v="IL Howell"/>
    <s v="RE Koertzen"/>
  </r>
  <r>
    <n v="83"/>
    <s v="Jaipur"/>
    <x v="0"/>
    <d v="2008-05-04T00:00:00"/>
    <x v="21"/>
    <x v="5"/>
    <s v="Chennai Super Kings"/>
    <s v="Rajasthan Royals"/>
    <x v="1"/>
    <x v="1"/>
    <s v="normal"/>
    <x v="4"/>
    <n v="0"/>
    <n v="8"/>
    <s v="Asad Rauf"/>
    <s v="AV Jayaprakash"/>
  </r>
  <r>
    <n v="84"/>
    <s v="Bangalore"/>
    <x v="0"/>
    <d v="2008-05-05T00:00:00"/>
    <x v="22"/>
    <x v="0"/>
    <s v="Royal Challengers Bangalore"/>
    <s v="Kings XI Punjab"/>
    <x v="5"/>
    <x v="0"/>
    <s v="normal"/>
    <x v="5"/>
    <n v="0"/>
    <n v="6"/>
    <s v="SJ Davis"/>
    <s v="BR Doctrove"/>
  </r>
  <r>
    <n v="85"/>
    <s v="Chennai"/>
    <x v="0"/>
    <d v="2008-05-06T00:00:00"/>
    <x v="11"/>
    <x v="7"/>
    <s v="Chennai Super Kings"/>
    <s v="Deccan Chargers"/>
    <x v="4"/>
    <x v="0"/>
    <s v="normal"/>
    <x v="6"/>
    <n v="0"/>
    <n v="7"/>
    <s v="MR Benson"/>
    <s v="RB Tiffin"/>
  </r>
  <r>
    <n v="86"/>
    <s v="Mumbai"/>
    <x v="0"/>
    <d v="2008-05-07T00:00:00"/>
    <x v="23"/>
    <x v="8"/>
    <s v="Rajasthan Royals"/>
    <s v="Mumbai Indians"/>
    <x v="3"/>
    <x v="0"/>
    <s v="normal"/>
    <x v="7"/>
    <n v="0"/>
    <n v="7"/>
    <s v="DJ Harper"/>
    <s v="RE Koertzen"/>
  </r>
  <r>
    <n v="87"/>
    <s v="Delhi"/>
    <x v="0"/>
    <d v="2008-05-08T00:00:00"/>
    <x v="13"/>
    <x v="2"/>
    <s v="Delhi Daredevils"/>
    <s v="Chennai Super Kings"/>
    <x v="1"/>
    <x v="0"/>
    <s v="normal"/>
    <x v="1"/>
    <n v="0"/>
    <n v="4"/>
    <s v="Aleem Dar"/>
    <s v="RB Tiffin"/>
  </r>
  <r>
    <n v="88"/>
    <s v="Kolkata"/>
    <x v="0"/>
    <d v="2008-05-08T00:00:00"/>
    <x v="24"/>
    <x v="4"/>
    <s v="Kolkata Knight Riders"/>
    <s v="Royal Challengers Bangalore"/>
    <x v="6"/>
    <x v="1"/>
    <s v="normal"/>
    <x v="0"/>
    <n v="5"/>
    <n v="0"/>
    <s v="Asad Rauf"/>
    <s v="IL Howell"/>
  </r>
  <r>
    <n v="89"/>
    <s v="Jaipur"/>
    <x v="0"/>
    <d v="2008-05-09T00:00:00"/>
    <x v="8"/>
    <x v="5"/>
    <s v="Deccan Chargers"/>
    <s v="Rajasthan Royals"/>
    <x v="2"/>
    <x v="0"/>
    <s v="normal"/>
    <x v="4"/>
    <n v="0"/>
    <n v="8"/>
    <s v="MR Benson"/>
    <s v="AM Saheba"/>
  </r>
  <r>
    <n v="90"/>
    <s v="Bangalore"/>
    <x v="0"/>
    <d v="2008-05-28T00:00:00"/>
    <x v="25"/>
    <x v="0"/>
    <s v="Royal Challengers Bangalore"/>
    <s v="Mumbai Indians"/>
    <x v="3"/>
    <x v="0"/>
    <s v="normal"/>
    <x v="7"/>
    <n v="0"/>
    <n v="9"/>
    <s v="BF Bowden"/>
    <s v="AV Jayaprakash"/>
  </r>
  <r>
    <n v="91"/>
    <s v="Chennai"/>
    <x v="0"/>
    <d v="2008-05-10T00:00:00"/>
    <x v="26"/>
    <x v="7"/>
    <s v="Chennai Super Kings"/>
    <s v="Kings XI Punjab"/>
    <x v="5"/>
    <x v="0"/>
    <s v="normal"/>
    <x v="1"/>
    <n v="18"/>
    <n v="0"/>
    <s v="AV Jayaprakash"/>
    <s v="BG Jerling"/>
  </r>
  <r>
    <n v="92"/>
    <s v="Hyderabad"/>
    <x v="0"/>
    <d v="2008-05-11T00:00:00"/>
    <x v="24"/>
    <x v="6"/>
    <s v="Kolkata Knight Riders"/>
    <s v="Deccan Chargers"/>
    <x v="6"/>
    <x v="1"/>
    <s v="normal"/>
    <x v="0"/>
    <n v="23"/>
    <n v="0"/>
    <s v="IL Howell"/>
    <s v="AM Saheba"/>
  </r>
  <r>
    <n v="93"/>
    <s v="Jaipur"/>
    <x v="0"/>
    <d v="2008-05-11T00:00:00"/>
    <x v="5"/>
    <x v="5"/>
    <s v="Delhi Daredevils"/>
    <s v="Rajasthan Royals"/>
    <x v="2"/>
    <x v="0"/>
    <s v="normal"/>
    <x v="4"/>
    <n v="0"/>
    <n v="3"/>
    <s v="SJ Davis"/>
    <s v="RE Koertzen"/>
  </r>
  <r>
    <n v="94"/>
    <s v="Chandigarh"/>
    <x v="0"/>
    <d v="2008-05-12T00:00:00"/>
    <x v="16"/>
    <x v="1"/>
    <s v="Royal Challengers Bangalore"/>
    <s v="Kings XI Punjab"/>
    <x v="0"/>
    <x v="1"/>
    <s v="normal"/>
    <x v="5"/>
    <n v="0"/>
    <n v="9"/>
    <s v="BR Doctrove"/>
    <s v="I Shivram"/>
  </r>
  <r>
    <n v="95"/>
    <s v="Kolkata"/>
    <x v="0"/>
    <d v="2008-05-13T00:00:00"/>
    <x v="27"/>
    <x v="4"/>
    <s v="Kolkata Knight Riders"/>
    <s v="Delhi Daredevils"/>
    <x v="6"/>
    <x v="1"/>
    <s v="normal"/>
    <x v="0"/>
    <n v="23"/>
    <n v="0"/>
    <s v="Asad Rauf"/>
    <s v="IL Howell"/>
  </r>
  <r>
    <n v="96"/>
    <s v="Mumbai"/>
    <x v="0"/>
    <d v="2008-05-14T00:00:00"/>
    <x v="14"/>
    <x v="3"/>
    <s v="Chennai Super Kings"/>
    <s v="Mumbai Indians"/>
    <x v="3"/>
    <x v="0"/>
    <s v="normal"/>
    <x v="7"/>
    <n v="0"/>
    <n v="9"/>
    <s v="BR Doctrove"/>
    <s v="AM Saheba"/>
  </r>
  <r>
    <n v="97"/>
    <s v="Chandigarh"/>
    <x v="0"/>
    <d v="2008-05-28T00:00:00"/>
    <x v="16"/>
    <x v="1"/>
    <s v="Kings XI Punjab"/>
    <s v="Rajasthan Royals"/>
    <x v="2"/>
    <x v="0"/>
    <s v="normal"/>
    <x v="5"/>
    <n v="41"/>
    <n v="0"/>
    <s v="SJ Davis"/>
    <s v="K Hariharan"/>
  </r>
  <r>
    <n v="98"/>
    <s v="Delhi"/>
    <x v="0"/>
    <d v="2008-05-15T00:00:00"/>
    <x v="28"/>
    <x v="2"/>
    <s v="Delhi Daredevils"/>
    <s v="Deccan Chargers"/>
    <x v="4"/>
    <x v="0"/>
    <s v="normal"/>
    <x v="2"/>
    <n v="12"/>
    <n v="0"/>
    <s v="BG Jerling"/>
    <s v="GA Pratapkumar"/>
  </r>
  <r>
    <n v="99"/>
    <s v="Mumbai"/>
    <x v="0"/>
    <d v="2008-05-16T00:00:00"/>
    <x v="20"/>
    <x v="3"/>
    <s v="Kolkata Knight Riders"/>
    <s v="Mumbai Indians"/>
    <x v="3"/>
    <x v="0"/>
    <s v="normal"/>
    <x v="7"/>
    <n v="0"/>
    <n v="8"/>
    <s v="BR Doctrove"/>
    <s v="DJ Harper"/>
  </r>
  <r>
    <n v="100"/>
    <s v="Delhi"/>
    <x v="0"/>
    <d v="2008-05-17T00:00:00"/>
    <x v="29"/>
    <x v="2"/>
    <s v="Delhi Daredevils"/>
    <s v="Kings XI Punjab"/>
    <x v="7"/>
    <x v="1"/>
    <s v="normal"/>
    <x v="5"/>
    <n v="6"/>
    <n v="0"/>
    <s v="AV Jayaprakash"/>
    <s v="RE Koertzen"/>
  </r>
  <r>
    <n v="101"/>
    <s v="Jaipur"/>
    <x v="0"/>
    <d v="2008-05-17T00:00:00"/>
    <x v="30"/>
    <x v="5"/>
    <s v="Rajasthan Royals"/>
    <s v="Royal Challengers Bangalore"/>
    <x v="0"/>
    <x v="0"/>
    <s v="normal"/>
    <x v="4"/>
    <n v="65"/>
    <n v="0"/>
    <s v="BF Bowden"/>
    <s v="SL Shastri"/>
  </r>
  <r>
    <n v="102"/>
    <s v="Hyderabad"/>
    <x v="0"/>
    <d v="2008-05-18T00:00:00"/>
    <x v="31"/>
    <x v="6"/>
    <s v="Mumbai Indians"/>
    <s v="Deccan Chargers"/>
    <x v="4"/>
    <x v="0"/>
    <s v="normal"/>
    <x v="7"/>
    <n v="25"/>
    <n v="0"/>
    <s v="BR Doctrove"/>
    <s v="DJ Harper"/>
  </r>
  <r>
    <n v="103"/>
    <s v="Kolkata"/>
    <x v="0"/>
    <d v="2008-05-18T00:00:00"/>
    <x v="32"/>
    <x v="4"/>
    <s v="Kolkata Knight Riders"/>
    <s v="Chennai Super Kings"/>
    <x v="6"/>
    <x v="1"/>
    <s v="normal"/>
    <x v="1"/>
    <n v="3"/>
    <n v="0"/>
    <s v="Asad Rauf"/>
    <s v="K Hariharan"/>
  </r>
  <r>
    <n v="104"/>
    <s v="Bangalore"/>
    <x v="0"/>
    <d v="2008-05-19T00:00:00"/>
    <x v="33"/>
    <x v="0"/>
    <s v="Royal Challengers Bangalore"/>
    <s v="Delhi Daredevils"/>
    <x v="7"/>
    <x v="0"/>
    <s v="normal"/>
    <x v="2"/>
    <n v="0"/>
    <n v="5"/>
    <s v="SJ Davis"/>
    <s v="GA Pratapkumar"/>
  </r>
  <r>
    <n v="105"/>
    <s v="Kolkata"/>
    <x v="0"/>
    <d v="2008-05-20T00:00:00"/>
    <x v="8"/>
    <x v="4"/>
    <s v="Kolkata Knight Riders"/>
    <s v="Rajasthan Royals"/>
    <x v="2"/>
    <x v="0"/>
    <s v="normal"/>
    <x v="4"/>
    <n v="0"/>
    <n v="6"/>
    <s v="BG Jerling"/>
    <s v="RE Koertzen"/>
  </r>
  <r>
    <n v="106"/>
    <s v="Mumbai"/>
    <x v="0"/>
    <d v="2008-05-21T00:00:00"/>
    <x v="16"/>
    <x v="3"/>
    <s v="Kings XI Punjab"/>
    <s v="Mumbai Indians"/>
    <x v="3"/>
    <x v="0"/>
    <s v="normal"/>
    <x v="5"/>
    <n v="1"/>
    <n v="0"/>
    <s v="BF Bowden"/>
    <s v="GA Pratapkumar"/>
  </r>
  <r>
    <n v="107"/>
    <s v="Chennai"/>
    <x v="0"/>
    <d v="2008-05-21T00:00:00"/>
    <x v="34"/>
    <x v="7"/>
    <s v="Royal Challengers Bangalore"/>
    <s v="Chennai Super Kings"/>
    <x v="0"/>
    <x v="1"/>
    <s v="normal"/>
    <x v="3"/>
    <n v="14"/>
    <n v="0"/>
    <s v="DJ Harper"/>
    <s v="I Shivram"/>
  </r>
  <r>
    <n v="108"/>
    <s v="Chandigarh"/>
    <x v="0"/>
    <d v="2008-05-23T00:00:00"/>
    <x v="16"/>
    <x v="1"/>
    <s v="Deccan Chargers"/>
    <s v="Kings XI Punjab"/>
    <x v="5"/>
    <x v="0"/>
    <s v="normal"/>
    <x v="5"/>
    <n v="0"/>
    <n v="6"/>
    <s v="Asad Rauf"/>
    <s v="SJ Davis"/>
  </r>
  <r>
    <n v="109"/>
    <s v="Delhi"/>
    <x v="0"/>
    <d v="2008-05-24T00:00:00"/>
    <x v="35"/>
    <x v="2"/>
    <s v="Mumbai Indians"/>
    <s v="Delhi Daredevils"/>
    <x v="7"/>
    <x v="0"/>
    <s v="normal"/>
    <x v="2"/>
    <n v="0"/>
    <n v="5"/>
    <s v="BF Bowden"/>
    <s v="K Hariharan"/>
  </r>
  <r>
    <n v="110"/>
    <s v="Chennai"/>
    <x v="0"/>
    <d v="2008-05-24T00:00:00"/>
    <x v="36"/>
    <x v="7"/>
    <s v="Rajasthan Royals"/>
    <s v="Chennai Super Kings"/>
    <x v="2"/>
    <x v="1"/>
    <s v="normal"/>
    <x v="4"/>
    <n v="10"/>
    <n v="0"/>
    <s v="DJ Harper"/>
    <s v="SL Shastri"/>
  </r>
  <r>
    <n v="111"/>
    <s v="Bangalore"/>
    <x v="0"/>
    <d v="2008-05-03T00:00:00"/>
    <x v="37"/>
    <x v="0"/>
    <s v="Royal Challengers Bangalore"/>
    <s v="Deccan Chargers"/>
    <x v="4"/>
    <x v="0"/>
    <s v="normal"/>
    <x v="3"/>
    <n v="3"/>
    <n v="0"/>
    <s v="BR Doctrove"/>
    <s v="SL Shastri"/>
  </r>
  <r>
    <n v="112"/>
    <s v="Kolkata"/>
    <x v="0"/>
    <d v="2008-05-25T00:00:00"/>
    <x v="38"/>
    <x v="4"/>
    <s v="Kings XI Punjab"/>
    <s v="Kolkata Knight Riders"/>
    <x v="5"/>
    <x v="1"/>
    <s v="normal"/>
    <x v="0"/>
    <n v="0"/>
    <n v="3"/>
    <s v="SJ Davis"/>
    <s v="I Shivram"/>
  </r>
  <r>
    <n v="113"/>
    <s v="Jaipur"/>
    <x v="0"/>
    <d v="2008-05-26T00:00:00"/>
    <x v="21"/>
    <x v="5"/>
    <s v="Mumbai Indians"/>
    <s v="Rajasthan Royals"/>
    <x v="2"/>
    <x v="0"/>
    <s v="normal"/>
    <x v="4"/>
    <n v="0"/>
    <n v="5"/>
    <s v="BF Bowden"/>
    <s v="K Hariharan"/>
  </r>
  <r>
    <n v="114"/>
    <s v="Hyderabad"/>
    <x v="0"/>
    <d v="2008-05-27T00:00:00"/>
    <x v="39"/>
    <x v="6"/>
    <s v="Deccan Chargers"/>
    <s v="Chennai Super Kings"/>
    <x v="4"/>
    <x v="1"/>
    <s v="normal"/>
    <x v="1"/>
    <n v="0"/>
    <n v="7"/>
    <s v="BG Jerling"/>
    <s v="AM Saheba"/>
  </r>
  <r>
    <n v="115"/>
    <s v="Mumbai"/>
    <x v="0"/>
    <d v="2008-05-30T00:00:00"/>
    <x v="5"/>
    <x v="3"/>
    <s v="Rajasthan Royals"/>
    <s v="Delhi Daredevils"/>
    <x v="7"/>
    <x v="0"/>
    <s v="normal"/>
    <x v="4"/>
    <n v="105"/>
    <n v="0"/>
    <s v="BF Bowden"/>
    <s v="RE Koertzen"/>
  </r>
  <r>
    <n v="116"/>
    <s v="Mumbai"/>
    <x v="0"/>
    <d v="2008-05-31T00:00:00"/>
    <x v="32"/>
    <x v="3"/>
    <s v="Kings XI Punjab"/>
    <s v="Chennai Super Kings"/>
    <x v="5"/>
    <x v="1"/>
    <s v="normal"/>
    <x v="1"/>
    <n v="0"/>
    <n v="9"/>
    <s v="Asad Rauf"/>
    <s v="DJ Harper"/>
  </r>
  <r>
    <n v="117"/>
    <s v="Mumbai"/>
    <x v="0"/>
    <d v="2008-06-01T00:00:00"/>
    <x v="8"/>
    <x v="8"/>
    <s v="Chennai Super Kings"/>
    <s v="Rajasthan Royals"/>
    <x v="2"/>
    <x v="0"/>
    <s v="normal"/>
    <x v="4"/>
    <n v="0"/>
    <n v="3"/>
    <s v="BF Bowden"/>
    <s v="RE Koertzen"/>
  </r>
  <r>
    <n v="118"/>
    <s v="Cape Town"/>
    <x v="1"/>
    <d v="2009-04-18T00:00:00"/>
    <x v="40"/>
    <x v="9"/>
    <s v="Mumbai Indians"/>
    <s v="Chennai Super Kings"/>
    <x v="1"/>
    <x v="0"/>
    <s v="normal"/>
    <x v="7"/>
    <n v="19"/>
    <n v="0"/>
    <s v="BR Doctrove"/>
    <s v="K Hariharan"/>
  </r>
  <r>
    <n v="119"/>
    <s v="Cape Town"/>
    <x v="1"/>
    <d v="2009-04-18T00:00:00"/>
    <x v="41"/>
    <x v="9"/>
    <s v="Royal Challengers Bangalore"/>
    <s v="Rajasthan Royals"/>
    <x v="0"/>
    <x v="1"/>
    <s v="normal"/>
    <x v="3"/>
    <n v="75"/>
    <n v="0"/>
    <s v="BR Doctrove"/>
    <s v="RB Tiffin"/>
  </r>
  <r>
    <n v="120"/>
    <s v="Cape Town"/>
    <x v="1"/>
    <d v="2009-04-19T00:00:00"/>
    <x v="42"/>
    <x v="9"/>
    <s v="Kings XI Punjab"/>
    <s v="Delhi Daredevils"/>
    <x v="7"/>
    <x v="0"/>
    <s v="normal"/>
    <x v="2"/>
    <n v="0"/>
    <n v="10"/>
    <s v="MR Benson"/>
    <s v="SD Ranade"/>
  </r>
  <r>
    <n v="121"/>
    <s v="Cape Town"/>
    <x v="1"/>
    <d v="2009-04-19T00:00:00"/>
    <x v="43"/>
    <x v="9"/>
    <s v="Kolkata Knight Riders"/>
    <s v="Deccan Chargers"/>
    <x v="6"/>
    <x v="1"/>
    <s v="normal"/>
    <x v="6"/>
    <n v="0"/>
    <n v="8"/>
    <s v="MR Benson"/>
    <s v="BR Doctrove"/>
  </r>
  <r>
    <n v="122"/>
    <s v="Port Elizabeth"/>
    <x v="1"/>
    <d v="2009-04-20T00:00:00"/>
    <x v="44"/>
    <x v="10"/>
    <s v="Chennai Super Kings"/>
    <s v="Royal Challengers Bangalore"/>
    <x v="1"/>
    <x v="1"/>
    <s v="normal"/>
    <x v="1"/>
    <n v="92"/>
    <n v="0"/>
    <s v="BG Jerling"/>
    <s v="SJA Taufel"/>
  </r>
  <r>
    <n v="123"/>
    <s v="Durban"/>
    <x v="1"/>
    <d v="2009-04-21T00:00:00"/>
    <x v="45"/>
    <x v="11"/>
    <s v="Kings XI Punjab"/>
    <s v="Kolkata Knight Riders"/>
    <x v="6"/>
    <x v="0"/>
    <s v="normal"/>
    <x v="0"/>
    <n v="11"/>
    <n v="0"/>
    <s v="DJ Harper"/>
    <s v="SD Ranade"/>
  </r>
  <r>
    <n v="124"/>
    <s v="Cape Town"/>
    <x v="1"/>
    <d v="2009-04-22T00:00:00"/>
    <x v="11"/>
    <x v="9"/>
    <s v="Deccan Chargers"/>
    <s v="Royal Challengers Bangalore"/>
    <x v="4"/>
    <x v="1"/>
    <s v="normal"/>
    <x v="6"/>
    <n v="24"/>
    <n v="0"/>
    <s v="M Erasmus"/>
    <s v="AM Saheba"/>
  </r>
  <r>
    <n v="125"/>
    <s v="Durban"/>
    <x v="1"/>
    <d v="2009-04-23T00:00:00"/>
    <x v="46"/>
    <x v="11"/>
    <s v="Delhi Daredevils"/>
    <s v="Chennai Super Kings"/>
    <x v="7"/>
    <x v="1"/>
    <s v="normal"/>
    <x v="2"/>
    <n v="9"/>
    <n v="0"/>
    <s v="BR Doctrove"/>
    <s v="SJA Taufel"/>
  </r>
  <r>
    <n v="126"/>
    <s v="Cape Town"/>
    <x v="1"/>
    <d v="2009-04-23T00:00:00"/>
    <x v="8"/>
    <x v="9"/>
    <s v="Rajasthan Royals"/>
    <s v="Kolkata Knight Riders"/>
    <x v="6"/>
    <x v="0"/>
    <s v="tie"/>
    <x v="4"/>
    <n v="0"/>
    <n v="0"/>
    <s v="MR Benson"/>
    <s v="M Erasmus"/>
  </r>
  <r>
    <n v="127"/>
    <s v="Durban"/>
    <x v="1"/>
    <d v="2009-04-24T00:00:00"/>
    <x v="47"/>
    <x v="11"/>
    <s v="Royal Challengers Bangalore"/>
    <s v="Kings XI Punjab"/>
    <x v="0"/>
    <x v="1"/>
    <s v="normal"/>
    <x v="5"/>
    <n v="0"/>
    <n v="7"/>
    <s v="BR Doctrove"/>
    <s v="TH Wijewardene"/>
  </r>
  <r>
    <n v="128"/>
    <s v="Durban"/>
    <x v="1"/>
    <d v="2009-04-25T00:00:00"/>
    <x v="48"/>
    <x v="11"/>
    <s v="Deccan Chargers"/>
    <s v="Mumbai Indians"/>
    <x v="4"/>
    <x v="1"/>
    <s v="normal"/>
    <x v="6"/>
    <n v="12"/>
    <n v="0"/>
    <s v="HDPK Dharmasena"/>
    <s v="SJA Taufel"/>
  </r>
  <r>
    <n v="129"/>
    <s v="Port Elizabeth"/>
    <x v="1"/>
    <d v="2009-04-26T00:00:00"/>
    <x v="49"/>
    <x v="10"/>
    <s v="Royal Challengers Bangalore"/>
    <s v="Delhi Daredevils"/>
    <x v="0"/>
    <x v="1"/>
    <s v="normal"/>
    <x v="2"/>
    <n v="0"/>
    <n v="6"/>
    <s v="S Asnani"/>
    <s v="BG Jerling"/>
  </r>
  <r>
    <n v="130"/>
    <s v="Cape Town"/>
    <x v="1"/>
    <d v="2009-04-26T00:00:00"/>
    <x v="9"/>
    <x v="9"/>
    <s v="Kings XI Punjab"/>
    <s v="Rajasthan Royals"/>
    <x v="5"/>
    <x v="1"/>
    <s v="normal"/>
    <x v="5"/>
    <n v="27"/>
    <n v="0"/>
    <s v="M Erasmus"/>
    <s v="K Hariharan"/>
  </r>
  <r>
    <n v="131"/>
    <s v="Durban"/>
    <x v="1"/>
    <d v="2009-04-27T00:00:00"/>
    <x v="50"/>
    <x v="11"/>
    <s v="Chennai Super Kings"/>
    <s v="Deccan Chargers"/>
    <x v="4"/>
    <x v="0"/>
    <s v="normal"/>
    <x v="6"/>
    <n v="0"/>
    <n v="6"/>
    <s v="IL Howell"/>
    <s v="TH Wijewardene"/>
  </r>
  <r>
    <n v="132"/>
    <s v="Port Elizabeth"/>
    <x v="1"/>
    <d v="2009-04-27T00:00:00"/>
    <x v="40"/>
    <x v="10"/>
    <s v="Mumbai Indians"/>
    <s v="Kolkata Knight Riders"/>
    <x v="3"/>
    <x v="1"/>
    <s v="normal"/>
    <x v="7"/>
    <n v="92"/>
    <n v="0"/>
    <s v="BG Jerling"/>
    <s v="RB Tiffin"/>
  </r>
  <r>
    <n v="133"/>
    <s v="Centurion"/>
    <x v="1"/>
    <d v="2009-04-28T00:00:00"/>
    <x v="8"/>
    <x v="12"/>
    <s v="Delhi Daredevils"/>
    <s v="Rajasthan Royals"/>
    <x v="7"/>
    <x v="1"/>
    <s v="normal"/>
    <x v="4"/>
    <n v="0"/>
    <n v="5"/>
    <s v="GAV Baxter"/>
    <s v="RE Koertzen"/>
  </r>
  <r>
    <n v="134"/>
    <s v="Durban"/>
    <x v="1"/>
    <d v="2009-04-29T00:00:00"/>
    <x v="3"/>
    <x v="11"/>
    <s v="Kolkata Knight Riders"/>
    <s v="Royal Challengers Bangalore"/>
    <x v="6"/>
    <x v="1"/>
    <s v="normal"/>
    <x v="3"/>
    <n v="0"/>
    <n v="5"/>
    <s v="MR Benson"/>
    <s v="TH Wijewardene"/>
  </r>
  <r>
    <n v="135"/>
    <s v="Durban"/>
    <x v="1"/>
    <d v="2009-04-29T00:00:00"/>
    <x v="9"/>
    <x v="11"/>
    <s v="Kings XI Punjab"/>
    <s v="Mumbai Indians"/>
    <x v="5"/>
    <x v="1"/>
    <s v="normal"/>
    <x v="5"/>
    <n v="3"/>
    <n v="0"/>
    <s v="MR Benson"/>
    <s v="SL Shastri"/>
  </r>
  <r>
    <n v="136"/>
    <s v="Centurion"/>
    <x v="1"/>
    <d v="2009-04-30T00:00:00"/>
    <x v="51"/>
    <x v="12"/>
    <s v="Deccan Chargers"/>
    <s v="Delhi Daredevils"/>
    <x v="7"/>
    <x v="0"/>
    <s v="normal"/>
    <x v="2"/>
    <n v="0"/>
    <n v="6"/>
    <s v="GAV Baxter"/>
    <s v="AM Saheba"/>
  </r>
  <r>
    <n v="137"/>
    <s v="Centurion"/>
    <x v="1"/>
    <d v="2009-04-30T00:00:00"/>
    <x v="39"/>
    <x v="12"/>
    <s v="Chennai Super Kings"/>
    <s v="Rajasthan Royals"/>
    <x v="2"/>
    <x v="0"/>
    <s v="normal"/>
    <x v="1"/>
    <n v="38"/>
    <n v="0"/>
    <s v="GAV Baxter"/>
    <s v="RE Koertzen"/>
  </r>
  <r>
    <n v="138"/>
    <s v="East London"/>
    <x v="1"/>
    <d v="2009-05-01T00:00:00"/>
    <x v="52"/>
    <x v="13"/>
    <s v="Mumbai Indians"/>
    <s v="Kolkata Knight Riders"/>
    <x v="3"/>
    <x v="1"/>
    <s v="normal"/>
    <x v="7"/>
    <n v="9"/>
    <n v="0"/>
    <s v="M Erasmus"/>
    <s v="SK Tarapore"/>
  </r>
  <r>
    <n v="139"/>
    <s v="Durban"/>
    <x v="1"/>
    <d v="2009-05-01T00:00:00"/>
    <x v="53"/>
    <x v="11"/>
    <s v="Royal Challengers Bangalore"/>
    <s v="Kings XI Punjab"/>
    <x v="0"/>
    <x v="1"/>
    <s v="normal"/>
    <x v="3"/>
    <n v="8"/>
    <n v="0"/>
    <s v="HDPK Dharmasena"/>
    <s v="S Ravi"/>
  </r>
  <r>
    <n v="140"/>
    <s v="Port Elizabeth"/>
    <x v="1"/>
    <d v="2009-05-02T00:00:00"/>
    <x v="8"/>
    <x v="10"/>
    <s v="Deccan Chargers"/>
    <s v="Rajasthan Royals"/>
    <x v="4"/>
    <x v="1"/>
    <s v="normal"/>
    <x v="4"/>
    <n v="0"/>
    <n v="3"/>
    <s v="S Asnani"/>
    <s v="BG Jerling"/>
  </r>
  <r>
    <n v="141"/>
    <s v="Johannesburg"/>
    <x v="1"/>
    <d v="2009-05-02T00:00:00"/>
    <x v="54"/>
    <x v="14"/>
    <s v="Chennai Super Kings"/>
    <s v="Delhi Daredevils"/>
    <x v="7"/>
    <x v="0"/>
    <s v="normal"/>
    <x v="1"/>
    <n v="18"/>
    <n v="0"/>
    <s v="DJ Harper"/>
    <s v="RE Koertzen"/>
  </r>
  <r>
    <n v="142"/>
    <s v="Port Elizabeth"/>
    <x v="1"/>
    <d v="2009-05-03T00:00:00"/>
    <x v="29"/>
    <x v="10"/>
    <s v="Kolkata Knight Riders"/>
    <s v="Kings XI Punjab"/>
    <x v="6"/>
    <x v="1"/>
    <s v="normal"/>
    <x v="5"/>
    <n v="0"/>
    <n v="6"/>
    <s v="S Asnani"/>
    <s v="MR Benson"/>
  </r>
  <r>
    <n v="143"/>
    <s v="Johannesburg"/>
    <x v="1"/>
    <d v="2009-05-03T00:00:00"/>
    <x v="55"/>
    <x v="14"/>
    <s v="Mumbai Indians"/>
    <s v="Royal Challengers Bangalore"/>
    <x v="3"/>
    <x v="1"/>
    <s v="normal"/>
    <x v="3"/>
    <n v="0"/>
    <n v="9"/>
    <s v="RE Koertzen"/>
    <s v="TH Wijewardene"/>
  </r>
  <r>
    <n v="144"/>
    <s v="East London"/>
    <x v="1"/>
    <d v="2009-05-04T00:00:00"/>
    <x v="13"/>
    <x v="13"/>
    <s v="Chennai Super Kings"/>
    <s v="Deccan Chargers"/>
    <x v="1"/>
    <x v="1"/>
    <s v="normal"/>
    <x v="1"/>
    <n v="78"/>
    <n v="0"/>
    <s v="BR Doctrove"/>
    <s v="M Erasmus"/>
  </r>
  <r>
    <n v="145"/>
    <s v="Durban"/>
    <x v="1"/>
    <d v="2009-05-05T00:00:00"/>
    <x v="30"/>
    <x v="11"/>
    <s v="Rajasthan Royals"/>
    <s v="Kings XI Punjab"/>
    <x v="5"/>
    <x v="0"/>
    <s v="normal"/>
    <x v="4"/>
    <n v="78"/>
    <n v="0"/>
    <s v="SS Hazare"/>
    <s v="IL Howell"/>
  </r>
  <r>
    <n v="146"/>
    <s v="Durban"/>
    <x v="1"/>
    <d v="2009-05-05T00:00:00"/>
    <x v="56"/>
    <x v="11"/>
    <s v="Kolkata Knight Riders"/>
    <s v="Delhi Daredevils"/>
    <x v="6"/>
    <x v="1"/>
    <s v="normal"/>
    <x v="2"/>
    <n v="0"/>
    <n v="9"/>
    <s v="GAV Baxter"/>
    <s v="IL Howell"/>
  </r>
  <r>
    <n v="147"/>
    <s v="Centurion"/>
    <x v="1"/>
    <d v="2009-05-06T00:00:00"/>
    <x v="57"/>
    <x v="12"/>
    <s v="Deccan Chargers"/>
    <s v="Mumbai Indians"/>
    <x v="4"/>
    <x v="1"/>
    <s v="normal"/>
    <x v="6"/>
    <n v="19"/>
    <n v="0"/>
    <s v="MR Benson"/>
    <s v="HDPK Dharmasena"/>
  </r>
  <r>
    <n v="148"/>
    <s v="Centurion"/>
    <x v="1"/>
    <d v="2009-05-07T00:00:00"/>
    <x v="58"/>
    <x v="12"/>
    <s v="Royal Challengers Bangalore"/>
    <s v="Rajasthan Royals"/>
    <x v="2"/>
    <x v="0"/>
    <s v="normal"/>
    <x v="4"/>
    <n v="0"/>
    <n v="7"/>
    <s v="K Hariharan"/>
    <s v="DJ Harper"/>
  </r>
  <r>
    <n v="149"/>
    <s v="Centurion"/>
    <x v="1"/>
    <d v="2009-05-07T00:00:00"/>
    <x v="7"/>
    <x v="12"/>
    <s v="Chennai Super Kings"/>
    <s v="Kings XI Punjab"/>
    <x v="1"/>
    <x v="1"/>
    <s v="normal"/>
    <x v="1"/>
    <n v="12"/>
    <n v="0"/>
    <s v="DJ Harper"/>
    <s v="TH Wijewardene"/>
  </r>
  <r>
    <n v="150"/>
    <s v="East London"/>
    <x v="1"/>
    <d v="2009-05-08T00:00:00"/>
    <x v="23"/>
    <x v="13"/>
    <s v="Mumbai Indians"/>
    <s v="Delhi Daredevils"/>
    <x v="3"/>
    <x v="1"/>
    <s v="normal"/>
    <x v="2"/>
    <n v="0"/>
    <n v="7"/>
    <s v="M Erasmus"/>
    <s v="SK Tarapore"/>
  </r>
  <r>
    <n v="151"/>
    <s v="Kimberley"/>
    <x v="1"/>
    <d v="2009-05-09T00:00:00"/>
    <x v="29"/>
    <x v="15"/>
    <s v="Deccan Chargers"/>
    <s v="Kings XI Punjab"/>
    <x v="5"/>
    <x v="0"/>
    <s v="normal"/>
    <x v="5"/>
    <n v="0"/>
    <n v="3"/>
    <s v="GAV Baxter"/>
    <s v="AM Saheba"/>
  </r>
  <r>
    <n v="152"/>
    <s v="Kimberley"/>
    <x v="1"/>
    <d v="2009-05-09T00:00:00"/>
    <x v="59"/>
    <x v="15"/>
    <s v="Rajasthan Royals"/>
    <s v="Chennai Super Kings"/>
    <x v="2"/>
    <x v="1"/>
    <s v="normal"/>
    <x v="1"/>
    <n v="0"/>
    <n v="7"/>
    <s v="GAV Baxter"/>
    <s v="HDPK Dharmasena"/>
  </r>
  <r>
    <n v="153"/>
    <s v="Port Elizabeth"/>
    <x v="1"/>
    <d v="2009-05-10T00:00:00"/>
    <x v="52"/>
    <x v="10"/>
    <s v="Mumbai Indians"/>
    <s v="Royal Challengers Bangalore"/>
    <x v="3"/>
    <x v="1"/>
    <s v="normal"/>
    <x v="7"/>
    <n v="16"/>
    <n v="0"/>
    <s v="BR Doctrove"/>
    <s v="BG Jerling"/>
  </r>
  <r>
    <n v="154"/>
    <s v="Johannesburg"/>
    <x v="1"/>
    <d v="2009-05-10T00:00:00"/>
    <x v="28"/>
    <x v="14"/>
    <s v="Kolkata Knight Riders"/>
    <s v="Delhi Daredevils"/>
    <x v="7"/>
    <x v="0"/>
    <s v="normal"/>
    <x v="2"/>
    <n v="0"/>
    <n v="7"/>
    <s v="SL Shastri"/>
    <s v="RB Tiffin"/>
  </r>
  <r>
    <n v="155"/>
    <s v="Kimberley"/>
    <x v="1"/>
    <d v="2009-05-11T00:00:00"/>
    <x v="60"/>
    <x v="15"/>
    <s v="Deccan Chargers"/>
    <s v="Rajasthan Royals"/>
    <x v="4"/>
    <x v="1"/>
    <s v="normal"/>
    <x v="6"/>
    <n v="53"/>
    <n v="0"/>
    <s v="GAV Baxter"/>
    <s v="HDPK Dharmasena"/>
  </r>
  <r>
    <n v="156"/>
    <s v="Centurion"/>
    <x v="1"/>
    <d v="2009-05-12T00:00:00"/>
    <x v="61"/>
    <x v="12"/>
    <s v="Kolkata Knight Riders"/>
    <s v="Royal Challengers Bangalore"/>
    <x v="0"/>
    <x v="0"/>
    <s v="normal"/>
    <x v="3"/>
    <n v="0"/>
    <n v="6"/>
    <s v="M Erasmus"/>
    <s v="SS Hazare"/>
  </r>
  <r>
    <n v="157"/>
    <s v="Centurion"/>
    <x v="1"/>
    <d v="2009-05-12T00:00:00"/>
    <x v="62"/>
    <x v="12"/>
    <s v="Kings XI Punjab"/>
    <s v="Mumbai Indians"/>
    <x v="5"/>
    <x v="1"/>
    <s v="normal"/>
    <x v="7"/>
    <n v="0"/>
    <n v="8"/>
    <s v="SS Hazare"/>
    <s v="RE Koertzen"/>
  </r>
  <r>
    <n v="158"/>
    <s v="Durban"/>
    <x v="1"/>
    <d v="2009-05-13T00:00:00"/>
    <x v="63"/>
    <x v="11"/>
    <s v="Delhi Daredevils"/>
    <s v="Deccan Chargers"/>
    <x v="4"/>
    <x v="0"/>
    <s v="normal"/>
    <x v="2"/>
    <n v="12"/>
    <n v="0"/>
    <s v="DJ Harper"/>
    <s v="SL Shastri"/>
  </r>
  <r>
    <n v="159"/>
    <s v="Durban"/>
    <x v="1"/>
    <d v="2009-05-14T00:00:00"/>
    <x v="61"/>
    <x v="11"/>
    <s v="Chennai Super Kings"/>
    <s v="Royal Challengers Bangalore"/>
    <x v="1"/>
    <x v="1"/>
    <s v="normal"/>
    <x v="3"/>
    <n v="0"/>
    <n v="2"/>
    <s v="BR Doctrove"/>
    <s v="DJ Harper"/>
  </r>
  <r>
    <n v="160"/>
    <s v="Durban"/>
    <x v="1"/>
    <d v="2009-05-14T00:00:00"/>
    <x v="64"/>
    <x v="11"/>
    <s v="Rajasthan Royals"/>
    <s v="Mumbai Indians"/>
    <x v="2"/>
    <x v="1"/>
    <s v="normal"/>
    <x v="4"/>
    <n v="2"/>
    <n v="0"/>
    <s v="BR Doctrove"/>
    <s v="DJ Harper"/>
  </r>
  <r>
    <n v="161"/>
    <s v="Bloemfontein"/>
    <x v="1"/>
    <d v="2009-05-15T00:00:00"/>
    <x v="65"/>
    <x v="16"/>
    <s v="Delhi Daredevils"/>
    <s v="Kings XI Punjab"/>
    <x v="5"/>
    <x v="0"/>
    <s v="normal"/>
    <x v="5"/>
    <n v="0"/>
    <n v="6"/>
    <s v="HDPK Dharmasena"/>
    <s v="IL Howell"/>
  </r>
  <r>
    <n v="162"/>
    <s v="Port Elizabeth"/>
    <x v="1"/>
    <d v="2009-05-16T00:00:00"/>
    <x v="7"/>
    <x v="10"/>
    <s v="Mumbai Indians"/>
    <s v="Chennai Super Kings"/>
    <x v="3"/>
    <x v="1"/>
    <s v="normal"/>
    <x v="1"/>
    <n v="0"/>
    <n v="7"/>
    <s v="SK Tarapore"/>
    <s v="SJA Taufel"/>
  </r>
  <r>
    <n v="163"/>
    <s v="Johannesburg"/>
    <x v="1"/>
    <d v="2009-05-16T00:00:00"/>
    <x v="57"/>
    <x v="14"/>
    <s v="Kolkata Knight Riders"/>
    <s v="Deccan Chargers"/>
    <x v="4"/>
    <x v="0"/>
    <s v="normal"/>
    <x v="6"/>
    <n v="0"/>
    <n v="6"/>
    <s v="RE Koertzen"/>
    <s v="S Ravi"/>
  </r>
  <r>
    <n v="164"/>
    <s v="Johannesburg"/>
    <x v="1"/>
    <d v="2009-05-17T00:00:00"/>
    <x v="53"/>
    <x v="14"/>
    <s v="Kings XI Punjab"/>
    <s v="Deccan Chargers"/>
    <x v="4"/>
    <x v="0"/>
    <s v="normal"/>
    <x v="5"/>
    <n v="1"/>
    <n v="0"/>
    <s v="S Ravi"/>
    <s v="RB Tiffin"/>
  </r>
  <r>
    <n v="165"/>
    <s v="Bloemfontein"/>
    <x v="1"/>
    <d v="2009-05-17T00:00:00"/>
    <x v="46"/>
    <x v="16"/>
    <s v="Delhi Daredevils"/>
    <s v="Rajasthan Royals"/>
    <x v="7"/>
    <x v="1"/>
    <s v="normal"/>
    <x v="2"/>
    <n v="14"/>
    <n v="0"/>
    <s v="SS Hazare"/>
    <s v="IL Howell"/>
  </r>
  <r>
    <n v="166"/>
    <s v="Centurion"/>
    <x v="1"/>
    <d v="2009-05-18T00:00:00"/>
    <x v="66"/>
    <x v="12"/>
    <s v="Chennai Super Kings"/>
    <s v="Kolkata Knight Riders"/>
    <x v="1"/>
    <x v="1"/>
    <s v="normal"/>
    <x v="0"/>
    <n v="0"/>
    <n v="7"/>
    <s v="SJA Taufel"/>
    <s v="RB Tiffin"/>
  </r>
  <r>
    <n v="167"/>
    <s v="Johannesburg"/>
    <x v="1"/>
    <d v="2009-05-19T00:00:00"/>
    <x v="55"/>
    <x v="14"/>
    <s v="Delhi Daredevils"/>
    <s v="Royal Challengers Bangalore"/>
    <x v="7"/>
    <x v="1"/>
    <s v="normal"/>
    <x v="3"/>
    <n v="0"/>
    <n v="7"/>
    <s v="IL Howell"/>
    <s v="RB Tiffin"/>
  </r>
  <r>
    <n v="168"/>
    <s v="Durban"/>
    <x v="1"/>
    <d v="2009-05-20T00:00:00"/>
    <x v="67"/>
    <x v="11"/>
    <s v="Rajasthan Royals"/>
    <s v="Kolkata Knight Riders"/>
    <x v="6"/>
    <x v="0"/>
    <s v="normal"/>
    <x v="0"/>
    <n v="0"/>
    <n v="4"/>
    <s v="BG Jerling"/>
    <s v="SJA Taufel"/>
  </r>
  <r>
    <n v="169"/>
    <s v="Durban"/>
    <x v="1"/>
    <d v="2009-05-20T00:00:00"/>
    <x v="44"/>
    <x v="11"/>
    <s v="Chennai Super Kings"/>
    <s v="Kings XI Punjab"/>
    <x v="1"/>
    <x v="1"/>
    <s v="normal"/>
    <x v="1"/>
    <n v="24"/>
    <n v="0"/>
    <s v="BG Jerling"/>
    <s v="SJA Taufel"/>
  </r>
  <r>
    <n v="170"/>
    <s v="Centurion"/>
    <x v="1"/>
    <d v="2009-05-21T00:00:00"/>
    <x v="6"/>
    <x v="12"/>
    <s v="Mumbai Indians"/>
    <s v="Delhi Daredevils"/>
    <x v="7"/>
    <x v="0"/>
    <s v="normal"/>
    <x v="2"/>
    <n v="0"/>
    <n v="4"/>
    <s v="IL Howell"/>
    <s v="S Ravi"/>
  </r>
  <r>
    <n v="171"/>
    <s v="Centurion"/>
    <x v="1"/>
    <d v="2009-05-21T00:00:00"/>
    <x v="68"/>
    <x v="12"/>
    <s v="Royal Challengers Bangalore"/>
    <s v="Deccan Chargers"/>
    <x v="0"/>
    <x v="1"/>
    <s v="normal"/>
    <x v="3"/>
    <n v="12"/>
    <n v="0"/>
    <s v="IL Howell"/>
    <s v="S Ravi"/>
  </r>
  <r>
    <n v="172"/>
    <s v="Centurion"/>
    <x v="1"/>
    <d v="2009-05-22T00:00:00"/>
    <x v="11"/>
    <x v="12"/>
    <s v="Delhi Daredevils"/>
    <s v="Deccan Chargers"/>
    <x v="4"/>
    <x v="0"/>
    <s v="normal"/>
    <x v="6"/>
    <n v="0"/>
    <n v="6"/>
    <s v="BR Doctrove"/>
    <s v="DJ Harper"/>
  </r>
  <r>
    <n v="173"/>
    <s v="Johannesburg"/>
    <x v="1"/>
    <d v="2009-05-23T00:00:00"/>
    <x v="68"/>
    <x v="14"/>
    <s v="Chennai Super Kings"/>
    <s v="Royal Challengers Bangalore"/>
    <x v="0"/>
    <x v="0"/>
    <s v="normal"/>
    <x v="3"/>
    <n v="0"/>
    <n v="6"/>
    <s v="RE Koertzen"/>
    <s v="SJA Taufel"/>
  </r>
  <r>
    <n v="174"/>
    <s v="Johannesburg"/>
    <x v="1"/>
    <d v="2009-05-24T00:00:00"/>
    <x v="34"/>
    <x v="14"/>
    <s v="Deccan Chargers"/>
    <s v="Royal Challengers Bangalore"/>
    <x v="0"/>
    <x v="0"/>
    <s v="normal"/>
    <x v="6"/>
    <n v="6"/>
    <n v="0"/>
    <s v="RE Koertzen"/>
    <s v="SJA Taufel"/>
  </r>
  <r>
    <n v="175"/>
    <s v="Mumbai"/>
    <x v="2"/>
    <d v="2010-03-12T00:00:00"/>
    <x v="69"/>
    <x v="8"/>
    <s v="Kolkata Knight Riders"/>
    <s v="Deccan Chargers"/>
    <x v="4"/>
    <x v="0"/>
    <s v="normal"/>
    <x v="0"/>
    <n v="11"/>
    <n v="0"/>
    <s v="RE Koertzen"/>
    <s v="RB Tiffin"/>
  </r>
  <r>
    <n v="176"/>
    <s v="Mumbai"/>
    <x v="2"/>
    <d v="2010-03-13T00:00:00"/>
    <x v="8"/>
    <x v="17"/>
    <s v="Mumbai Indians"/>
    <s v="Rajasthan Royals"/>
    <x v="3"/>
    <x v="1"/>
    <s v="normal"/>
    <x v="7"/>
    <n v="4"/>
    <n v="0"/>
    <s v="RE Koertzen"/>
    <s v="RB Tiffin"/>
  </r>
  <r>
    <n v="177"/>
    <s v="Chandigarh"/>
    <x v="2"/>
    <d v="2010-03-13T00:00:00"/>
    <x v="56"/>
    <x v="1"/>
    <s v="Kings XI Punjab"/>
    <s v="Delhi Daredevils"/>
    <x v="7"/>
    <x v="0"/>
    <s v="normal"/>
    <x v="2"/>
    <n v="0"/>
    <n v="5"/>
    <s v="BR Doctrove"/>
    <s v="S Ravi"/>
  </r>
  <r>
    <n v="178"/>
    <s v="Kolkata"/>
    <x v="2"/>
    <d v="2010-03-14T00:00:00"/>
    <x v="70"/>
    <x v="4"/>
    <s v="Royal Challengers Bangalore"/>
    <s v="Kolkata Knight Riders"/>
    <x v="6"/>
    <x v="0"/>
    <s v="normal"/>
    <x v="0"/>
    <n v="0"/>
    <n v="7"/>
    <s v="HDPK Dharmasena"/>
    <s v="AM Saheba"/>
  </r>
  <r>
    <n v="179"/>
    <s v="Chennai"/>
    <x v="2"/>
    <d v="2010-03-14T00:00:00"/>
    <x v="71"/>
    <x v="7"/>
    <s v="Deccan Chargers"/>
    <s v="Chennai Super Kings"/>
    <x v="4"/>
    <x v="1"/>
    <s v="normal"/>
    <x v="6"/>
    <n v="31"/>
    <n v="0"/>
    <s v="K Hariharan"/>
    <s v="DJ Harper"/>
  </r>
  <r>
    <n v="180"/>
    <s v="Ahmedabad"/>
    <x v="2"/>
    <d v="2010-03-15T00:00:00"/>
    <x v="6"/>
    <x v="18"/>
    <s v="Rajasthan Royals"/>
    <s v="Delhi Daredevils"/>
    <x v="7"/>
    <x v="0"/>
    <s v="normal"/>
    <x v="2"/>
    <n v="0"/>
    <n v="6"/>
    <s v="BG Jerling"/>
    <s v="RE Koertzen"/>
  </r>
  <r>
    <n v="181"/>
    <s v="Bangalore"/>
    <x v="2"/>
    <d v="2010-03-16T00:00:00"/>
    <x v="55"/>
    <x v="0"/>
    <s v="Kings XI Punjab"/>
    <s v="Royal Challengers Bangalore"/>
    <x v="5"/>
    <x v="1"/>
    <s v="normal"/>
    <x v="3"/>
    <n v="0"/>
    <n v="8"/>
    <s v="S Das"/>
    <s v="DJ Harper"/>
  </r>
  <r>
    <n v="182"/>
    <s v="Kolkata"/>
    <x v="2"/>
    <d v="2010-03-16T00:00:00"/>
    <x v="13"/>
    <x v="4"/>
    <s v="Chennai Super Kings"/>
    <s v="Kolkata Knight Riders"/>
    <x v="1"/>
    <x v="1"/>
    <s v="normal"/>
    <x v="1"/>
    <n v="55"/>
    <n v="0"/>
    <s v="HDPK Dharmasena"/>
    <s v="AM Saheba"/>
  </r>
  <r>
    <n v="183"/>
    <s v="Delhi"/>
    <x v="2"/>
    <d v="2010-03-17T00:00:00"/>
    <x v="40"/>
    <x v="2"/>
    <s v="Mumbai Indians"/>
    <s v="Delhi Daredevils"/>
    <x v="7"/>
    <x v="0"/>
    <s v="normal"/>
    <x v="7"/>
    <n v="98"/>
    <n v="0"/>
    <s v="BR Doctrove"/>
    <s v="SK Tarapore"/>
  </r>
  <r>
    <n v="184"/>
    <s v="Bangalore"/>
    <x v="2"/>
    <d v="2010-03-18T00:00:00"/>
    <x v="55"/>
    <x v="0"/>
    <s v="Rajasthan Royals"/>
    <s v="Royal Challengers Bangalore"/>
    <x v="0"/>
    <x v="0"/>
    <s v="normal"/>
    <x v="3"/>
    <n v="0"/>
    <n v="10"/>
    <s v="K Hariharan"/>
    <s v="DJ Harper"/>
  </r>
  <r>
    <n v="185"/>
    <s v="Delhi"/>
    <x v="2"/>
    <d v="2010-03-19T00:00:00"/>
    <x v="7"/>
    <x v="2"/>
    <s v="Delhi Daredevils"/>
    <s v="Chennai Super Kings"/>
    <x v="7"/>
    <x v="1"/>
    <s v="normal"/>
    <x v="1"/>
    <n v="0"/>
    <n v="5"/>
    <s v="BR Doctrove"/>
    <s v="SK Tarapore"/>
  </r>
  <r>
    <n v="186"/>
    <s v="Cuttack"/>
    <x v="2"/>
    <d v="2010-03-19T00:00:00"/>
    <x v="72"/>
    <x v="19"/>
    <s v="Deccan Chargers"/>
    <s v="Kings XI Punjab"/>
    <x v="5"/>
    <x v="0"/>
    <s v="normal"/>
    <x v="6"/>
    <n v="6"/>
    <n v="0"/>
    <s v="BF Bowden"/>
    <s v="M Erasmus"/>
  </r>
  <r>
    <n v="187"/>
    <s v="Ahmedabad"/>
    <x v="2"/>
    <d v="2010-03-20T00:00:00"/>
    <x v="73"/>
    <x v="18"/>
    <s v="Rajasthan Royals"/>
    <s v="Kolkata Knight Riders"/>
    <x v="2"/>
    <x v="1"/>
    <s v="normal"/>
    <x v="4"/>
    <n v="34"/>
    <n v="0"/>
    <s v="RE Koertzen"/>
    <s v="RB Tiffin"/>
  </r>
  <r>
    <n v="188"/>
    <s v="Mumbai"/>
    <x v="2"/>
    <d v="2010-03-20T00:00:00"/>
    <x v="55"/>
    <x v="17"/>
    <s v="Mumbai Indians"/>
    <s v="Royal Challengers Bangalore"/>
    <x v="3"/>
    <x v="1"/>
    <s v="normal"/>
    <x v="3"/>
    <n v="0"/>
    <n v="7"/>
    <s v="HDPK Dharmasena"/>
    <s v="SS Hazare"/>
  </r>
  <r>
    <n v="189"/>
    <s v="Cuttack"/>
    <x v="2"/>
    <d v="2010-03-21T00:00:00"/>
    <x v="72"/>
    <x v="19"/>
    <s v="Deccan Chargers"/>
    <s v="Delhi Daredevils"/>
    <x v="4"/>
    <x v="1"/>
    <s v="normal"/>
    <x v="6"/>
    <n v="10"/>
    <n v="0"/>
    <s v="BF Bowden"/>
    <s v="M Erasmus"/>
  </r>
  <r>
    <n v="190"/>
    <s v="Chennai"/>
    <x v="2"/>
    <d v="2010-03-21T00:00:00"/>
    <x v="74"/>
    <x v="7"/>
    <s v="Kings XI Punjab"/>
    <s v="Chennai Super Kings"/>
    <x v="1"/>
    <x v="0"/>
    <s v="tie"/>
    <x v="5"/>
    <n v="0"/>
    <n v="0"/>
    <s v="K Hariharan"/>
    <s v="DJ Harper"/>
  </r>
  <r>
    <n v="191"/>
    <s v="Mumbai"/>
    <x v="2"/>
    <d v="2010-03-22T00:00:00"/>
    <x v="40"/>
    <x v="17"/>
    <s v="Kolkata Knight Riders"/>
    <s v="Mumbai Indians"/>
    <x v="6"/>
    <x v="1"/>
    <s v="normal"/>
    <x v="7"/>
    <n v="0"/>
    <n v="7"/>
    <s v="SS Hazare"/>
    <s v="SJA Taufel"/>
  </r>
  <r>
    <n v="192"/>
    <s v="Bangalore"/>
    <x v="2"/>
    <d v="2010-03-23T00:00:00"/>
    <x v="75"/>
    <x v="0"/>
    <s v="Royal Challengers Bangalore"/>
    <s v="Chennai Super Kings"/>
    <x v="1"/>
    <x v="0"/>
    <s v="normal"/>
    <x v="3"/>
    <n v="36"/>
    <n v="0"/>
    <s v="RE Koertzen"/>
    <s v="RB Tiffin"/>
  </r>
  <r>
    <n v="193"/>
    <s v="Chandigarh"/>
    <x v="2"/>
    <d v="2010-03-24T00:00:00"/>
    <x v="76"/>
    <x v="1"/>
    <s v="Rajasthan Royals"/>
    <s v="Kings XI Punjab"/>
    <x v="5"/>
    <x v="0"/>
    <s v="normal"/>
    <x v="4"/>
    <n v="31"/>
    <n v="0"/>
    <s v="BR Doctrove"/>
    <s v="SK Tarapore"/>
  </r>
  <r>
    <n v="194"/>
    <s v="Mumbai"/>
    <x v="2"/>
    <d v="2010-03-25T00:00:00"/>
    <x v="40"/>
    <x v="17"/>
    <s v="Chennai Super Kings"/>
    <s v="Mumbai Indians"/>
    <x v="3"/>
    <x v="0"/>
    <s v="normal"/>
    <x v="7"/>
    <n v="0"/>
    <n v="5"/>
    <s v="BF Bowden"/>
    <s v="AM Saheba"/>
  </r>
  <r>
    <n v="195"/>
    <s v="Ahmedabad"/>
    <x v="2"/>
    <d v="2010-03-26T00:00:00"/>
    <x v="8"/>
    <x v="18"/>
    <s v="Deccan Chargers"/>
    <s v="Rajasthan Royals"/>
    <x v="4"/>
    <x v="1"/>
    <s v="normal"/>
    <x v="4"/>
    <n v="0"/>
    <n v="8"/>
    <s v="HDPK Dharmasena"/>
    <s v="SJA Taufel"/>
  </r>
  <r>
    <n v="196"/>
    <s v="Chandigarh"/>
    <x v="2"/>
    <d v="2010-03-27T00:00:00"/>
    <x v="70"/>
    <x v="1"/>
    <s v="Kolkata Knight Riders"/>
    <s v="Kings XI Punjab"/>
    <x v="6"/>
    <x v="1"/>
    <s v="normal"/>
    <x v="0"/>
    <n v="39"/>
    <n v="0"/>
    <s v="BR Doctrove"/>
    <s v="S Ravi"/>
  </r>
  <r>
    <n v="197"/>
    <s v="Bangalore"/>
    <x v="2"/>
    <d v="2010-03-25T00:00:00"/>
    <x v="77"/>
    <x v="0"/>
    <s v="Delhi Daredevils"/>
    <s v="Royal Challengers Bangalore"/>
    <x v="0"/>
    <x v="0"/>
    <s v="normal"/>
    <x v="2"/>
    <n v="17"/>
    <n v="0"/>
    <s v="BG Jerling"/>
    <s v="RE Koertzen"/>
  </r>
  <r>
    <n v="198"/>
    <s v="Ahmedabad"/>
    <x v="2"/>
    <d v="2010-03-28T00:00:00"/>
    <x v="78"/>
    <x v="18"/>
    <s v="Rajasthan Royals"/>
    <s v="Chennai Super Kings"/>
    <x v="2"/>
    <x v="1"/>
    <s v="normal"/>
    <x v="4"/>
    <n v="17"/>
    <n v="0"/>
    <s v="SS Hazare"/>
    <s v="SJA Taufel"/>
  </r>
  <r>
    <n v="199"/>
    <s v="Mumbai"/>
    <x v="2"/>
    <d v="2010-03-28T00:00:00"/>
    <x v="62"/>
    <x v="8"/>
    <s v="Mumbai Indians"/>
    <s v="Deccan Chargers"/>
    <x v="4"/>
    <x v="0"/>
    <s v="normal"/>
    <x v="7"/>
    <n v="41"/>
    <n v="0"/>
    <s v="S Das"/>
    <s v="K Hariharan"/>
  </r>
  <r>
    <n v="200"/>
    <s v="Delhi"/>
    <x v="2"/>
    <d v="2010-03-29T00:00:00"/>
    <x v="79"/>
    <x v="2"/>
    <s v="Delhi Daredevils"/>
    <s v="Kolkata Knight Riders"/>
    <x v="7"/>
    <x v="1"/>
    <s v="normal"/>
    <x v="2"/>
    <n v="40"/>
    <n v="0"/>
    <s v="SS Hazare"/>
    <s v="SJA Taufel"/>
  </r>
  <r>
    <n v="201"/>
    <s v="Mumbai"/>
    <x v="2"/>
    <d v="2010-03-30T00:00:00"/>
    <x v="80"/>
    <x v="17"/>
    <s v="Kings XI Punjab"/>
    <s v="Mumbai Indians"/>
    <x v="3"/>
    <x v="0"/>
    <s v="normal"/>
    <x v="7"/>
    <n v="0"/>
    <n v="4"/>
    <s v="BR Doctrove"/>
    <s v="SK Tarapore"/>
  </r>
  <r>
    <n v="202"/>
    <s v="Chennai"/>
    <x v="2"/>
    <d v="2010-03-31T00:00:00"/>
    <x v="81"/>
    <x v="7"/>
    <s v="Royal Challengers Bangalore"/>
    <s v="Chennai Super Kings"/>
    <x v="0"/>
    <x v="1"/>
    <s v="normal"/>
    <x v="1"/>
    <n v="0"/>
    <n v="5"/>
    <s v="BG Jerling"/>
    <s v="RE Koertzen"/>
  </r>
  <r>
    <n v="203"/>
    <s v="Delhi"/>
    <x v="2"/>
    <d v="2010-03-31T00:00:00"/>
    <x v="35"/>
    <x v="2"/>
    <s v="Delhi Daredevils"/>
    <s v="Rajasthan Royals"/>
    <x v="7"/>
    <x v="1"/>
    <s v="normal"/>
    <x v="2"/>
    <n v="67"/>
    <n v="0"/>
    <s v="HDPK Dharmasena"/>
    <s v="SJA Taufel"/>
  </r>
  <r>
    <n v="204"/>
    <s v="Kolkata"/>
    <x v="2"/>
    <d v="2010-04-01T00:00:00"/>
    <x v="24"/>
    <x v="4"/>
    <s v="Kolkata Knight Riders"/>
    <s v="Deccan Chargers"/>
    <x v="6"/>
    <x v="1"/>
    <s v="normal"/>
    <x v="0"/>
    <n v="24"/>
    <n v="0"/>
    <s v="K Hariharan"/>
    <s v="DJ Harper"/>
  </r>
  <r>
    <n v="205"/>
    <s v="Chandigarh"/>
    <x v="2"/>
    <d v="2010-04-02T00:00:00"/>
    <x v="82"/>
    <x v="1"/>
    <s v="Kings XI Punjab"/>
    <s v="Royal Challengers Bangalore"/>
    <x v="5"/>
    <x v="1"/>
    <s v="normal"/>
    <x v="3"/>
    <n v="0"/>
    <n v="6"/>
    <s v="BF Bowden"/>
    <s v="M Erasmus"/>
  </r>
  <r>
    <n v="206"/>
    <s v="Chennai"/>
    <x v="2"/>
    <d v="2010-04-03T00:00:00"/>
    <x v="81"/>
    <x v="7"/>
    <s v="Chennai Super Kings"/>
    <s v="Rajasthan Royals"/>
    <x v="1"/>
    <x v="1"/>
    <s v="normal"/>
    <x v="1"/>
    <n v="23"/>
    <n v="0"/>
    <s v="RE Koertzen"/>
    <s v="RB Tiffin"/>
  </r>
  <r>
    <n v="207"/>
    <s v="Mumbai"/>
    <x v="2"/>
    <d v="2010-04-03T00:00:00"/>
    <x v="83"/>
    <x v="17"/>
    <s v="Mumbai Indians"/>
    <s v="Deccan Chargers"/>
    <x v="3"/>
    <x v="1"/>
    <s v="normal"/>
    <x v="7"/>
    <n v="63"/>
    <n v="0"/>
    <s v="BR Doctrove"/>
    <s v="S Ravi"/>
  </r>
  <r>
    <n v="208"/>
    <s v="Kolkata"/>
    <x v="2"/>
    <d v="2010-04-04T00:00:00"/>
    <x v="29"/>
    <x v="4"/>
    <s v="Kolkata Knight Riders"/>
    <s v="Kings XI Punjab"/>
    <x v="6"/>
    <x v="1"/>
    <s v="normal"/>
    <x v="5"/>
    <n v="0"/>
    <n v="8"/>
    <s v="S Asnani"/>
    <s v="DJ Harper"/>
  </r>
  <r>
    <n v="209"/>
    <s v="Delhi"/>
    <x v="2"/>
    <d v="2010-04-04T00:00:00"/>
    <x v="84"/>
    <x v="2"/>
    <s v="Delhi Daredevils"/>
    <s v="Royal Challengers Bangalore"/>
    <x v="7"/>
    <x v="1"/>
    <s v="normal"/>
    <x v="2"/>
    <n v="37"/>
    <n v="0"/>
    <s v="BF Bowden"/>
    <s v="M Erasmus"/>
  </r>
  <r>
    <n v="210"/>
    <s v="Nagpur"/>
    <x v="2"/>
    <d v="2010-04-05T00:00:00"/>
    <x v="64"/>
    <x v="20"/>
    <s v="Rajasthan Royals"/>
    <s v="Deccan Chargers"/>
    <x v="2"/>
    <x v="1"/>
    <s v="normal"/>
    <x v="4"/>
    <n v="2"/>
    <n v="0"/>
    <s v="HDPK Dharmasena"/>
    <s v="SJA Taufel"/>
  </r>
  <r>
    <n v="211"/>
    <s v="Chennai"/>
    <x v="2"/>
    <d v="2010-04-06T00:00:00"/>
    <x v="39"/>
    <x v="7"/>
    <s v="Chennai Super Kings"/>
    <s v="Mumbai Indians"/>
    <x v="1"/>
    <x v="1"/>
    <s v="normal"/>
    <x v="1"/>
    <n v="24"/>
    <n v="0"/>
    <s v="S Asnani"/>
    <s v="DJ Harper"/>
  </r>
  <r>
    <n v="212"/>
    <s v="Jaipur"/>
    <x v="2"/>
    <d v="2010-04-07T00:00:00"/>
    <x v="85"/>
    <x v="5"/>
    <s v="Kings XI Punjab"/>
    <s v="Rajasthan Royals"/>
    <x v="5"/>
    <x v="1"/>
    <s v="normal"/>
    <x v="4"/>
    <n v="0"/>
    <n v="9"/>
    <s v="S Ravi"/>
    <s v="SK Tarapore"/>
  </r>
  <r>
    <n v="213"/>
    <s v="Kolkata"/>
    <x v="2"/>
    <d v="2010-04-07T00:00:00"/>
    <x v="24"/>
    <x v="4"/>
    <s v="Kolkata Knight Riders"/>
    <s v="Delhi Daredevils"/>
    <x v="6"/>
    <x v="1"/>
    <s v="normal"/>
    <x v="0"/>
    <n v="14"/>
    <n v="0"/>
    <s v="BG Jerling"/>
    <s v="RE Koertzen"/>
  </r>
  <r>
    <n v="214"/>
    <s v="Bangalore"/>
    <x v="2"/>
    <d v="2010-04-08T00:00:00"/>
    <x v="86"/>
    <x v="0"/>
    <s v="Royal Challengers Bangalore"/>
    <s v="Deccan Chargers"/>
    <x v="4"/>
    <x v="0"/>
    <s v="normal"/>
    <x v="6"/>
    <n v="0"/>
    <n v="7"/>
    <s v="S Asnani"/>
    <s v="DJ Harper"/>
  </r>
  <r>
    <n v="215"/>
    <s v="Chandigarh"/>
    <x v="2"/>
    <d v="2010-04-09T00:00:00"/>
    <x v="9"/>
    <x v="1"/>
    <s v="Mumbai Indians"/>
    <s v="Kings XI Punjab"/>
    <x v="3"/>
    <x v="1"/>
    <s v="normal"/>
    <x v="5"/>
    <n v="0"/>
    <n v="6"/>
    <s v="M Erasmus"/>
    <s v="AM Saheba"/>
  </r>
  <r>
    <n v="216"/>
    <s v="Nagpur"/>
    <x v="2"/>
    <d v="2010-04-10T00:00:00"/>
    <x v="87"/>
    <x v="20"/>
    <s v="Chennai Super Kings"/>
    <s v="Deccan Chargers"/>
    <x v="1"/>
    <x v="1"/>
    <s v="normal"/>
    <x v="6"/>
    <n v="0"/>
    <n v="6"/>
    <s v="HDPK Dharmasena"/>
    <s v="SJA Taufel"/>
  </r>
  <r>
    <n v="217"/>
    <s v="Bangalore"/>
    <x v="2"/>
    <d v="2010-04-10T00:00:00"/>
    <x v="18"/>
    <x v="0"/>
    <s v="Kolkata Knight Riders"/>
    <s v="Royal Challengers Bangalore"/>
    <x v="0"/>
    <x v="0"/>
    <s v="normal"/>
    <x v="3"/>
    <n v="0"/>
    <n v="7"/>
    <s v="K Hariharan"/>
    <s v="DJ Harper"/>
  </r>
  <r>
    <n v="218"/>
    <s v="Delhi"/>
    <x v="2"/>
    <d v="2010-04-11T00:00:00"/>
    <x v="88"/>
    <x v="2"/>
    <s v="Delhi Daredevils"/>
    <s v="Kings XI Punjab"/>
    <x v="7"/>
    <x v="1"/>
    <s v="normal"/>
    <x v="5"/>
    <n v="0"/>
    <n v="7"/>
    <s v="BF Bowden"/>
    <s v="AM Saheba"/>
  </r>
  <r>
    <n v="219"/>
    <s v="Jaipur"/>
    <x v="2"/>
    <d v="2010-04-11T00:00:00"/>
    <x v="40"/>
    <x v="5"/>
    <s v="Mumbai Indians"/>
    <s v="Rajasthan Royals"/>
    <x v="2"/>
    <x v="0"/>
    <s v="normal"/>
    <x v="7"/>
    <n v="37"/>
    <n v="0"/>
    <s v="BR Doctrove"/>
    <s v="SK Tarapore"/>
  </r>
  <r>
    <n v="220"/>
    <s v="Nagpur"/>
    <x v="2"/>
    <d v="2010-04-12T00:00:00"/>
    <x v="89"/>
    <x v="20"/>
    <s v="Deccan Chargers"/>
    <s v="Royal Challengers Bangalore"/>
    <x v="0"/>
    <x v="0"/>
    <s v="normal"/>
    <x v="6"/>
    <n v="13"/>
    <n v="0"/>
    <s v="RE Koertzen"/>
    <s v="RB Tiffin"/>
  </r>
  <r>
    <n v="221"/>
    <s v="Mumbai"/>
    <x v="2"/>
    <d v="2010-04-13T00:00:00"/>
    <x v="90"/>
    <x v="17"/>
    <s v="Mumbai Indians"/>
    <s v="Delhi Daredevils"/>
    <x v="3"/>
    <x v="1"/>
    <s v="normal"/>
    <x v="7"/>
    <n v="39"/>
    <n v="0"/>
    <s v="S Asnani"/>
    <s v="DJ Harper"/>
  </r>
  <r>
    <n v="222"/>
    <s v="Chennai"/>
    <x v="2"/>
    <d v="2010-04-13T00:00:00"/>
    <x v="91"/>
    <x v="7"/>
    <s v="Kolkata Knight Riders"/>
    <s v="Chennai Super Kings"/>
    <x v="6"/>
    <x v="1"/>
    <s v="normal"/>
    <x v="1"/>
    <n v="0"/>
    <n v="9"/>
    <s v="SS Hazare"/>
    <s v="SJA Taufel"/>
  </r>
  <r>
    <n v="223"/>
    <s v="Jaipur"/>
    <x v="2"/>
    <d v="2010-04-14T00:00:00"/>
    <x v="82"/>
    <x v="5"/>
    <s v="Rajasthan Royals"/>
    <s v="Royal Challengers Bangalore"/>
    <x v="2"/>
    <x v="1"/>
    <s v="normal"/>
    <x v="3"/>
    <n v="0"/>
    <n v="5"/>
    <s v="BR Doctrove"/>
    <s v="S Ravi"/>
  </r>
  <r>
    <n v="224"/>
    <s v="Chennai"/>
    <x v="2"/>
    <d v="2010-04-15T00:00:00"/>
    <x v="56"/>
    <x v="7"/>
    <s v="Chennai Super Kings"/>
    <s v="Delhi Daredevils"/>
    <x v="1"/>
    <x v="1"/>
    <s v="normal"/>
    <x v="2"/>
    <n v="0"/>
    <n v="6"/>
    <s v="HDPK Dharmasena"/>
    <s v="SS Hazare"/>
  </r>
  <r>
    <n v="225"/>
    <s v="Dharamsala"/>
    <x v="2"/>
    <d v="2010-04-16T00:00:00"/>
    <x v="57"/>
    <x v="21"/>
    <s v="Kings XI Punjab"/>
    <s v="Deccan Chargers"/>
    <x v="4"/>
    <x v="0"/>
    <s v="normal"/>
    <x v="6"/>
    <n v="0"/>
    <n v="5"/>
    <s v="M Erasmus"/>
    <s v="AM Saheba"/>
  </r>
  <r>
    <n v="226"/>
    <s v="Bangalore"/>
    <x v="2"/>
    <d v="2010-04-17T00:00:00"/>
    <x v="92"/>
    <x v="0"/>
    <s v="Mumbai Indians"/>
    <s v="Royal Challengers Bangalore"/>
    <x v="0"/>
    <x v="0"/>
    <s v="normal"/>
    <x v="7"/>
    <n v="57"/>
    <n v="0"/>
    <s v="HDPK Dharmasena"/>
    <s v="SJA Taufel"/>
  </r>
  <r>
    <n v="227"/>
    <s v="Kolkata"/>
    <x v="2"/>
    <d v="2010-04-17T00:00:00"/>
    <x v="93"/>
    <x v="4"/>
    <s v="Rajasthan Royals"/>
    <s v="Kolkata Knight Riders"/>
    <x v="2"/>
    <x v="1"/>
    <s v="normal"/>
    <x v="0"/>
    <n v="0"/>
    <n v="8"/>
    <s v="BG Jerling"/>
    <s v="RB Tiffin"/>
  </r>
  <r>
    <n v="228"/>
    <s v="Dharamsala"/>
    <x v="2"/>
    <d v="2010-04-18T00:00:00"/>
    <x v="13"/>
    <x v="21"/>
    <s v="Kings XI Punjab"/>
    <s v="Chennai Super Kings"/>
    <x v="1"/>
    <x v="0"/>
    <s v="normal"/>
    <x v="1"/>
    <n v="0"/>
    <n v="6"/>
    <s v="BF Bowden"/>
    <s v="AM Saheba"/>
  </r>
  <r>
    <n v="229"/>
    <s v="Delhi"/>
    <x v="2"/>
    <d v="2010-04-18T00:00:00"/>
    <x v="72"/>
    <x v="2"/>
    <s v="Deccan Chargers"/>
    <s v="Delhi Daredevils"/>
    <x v="4"/>
    <x v="1"/>
    <s v="normal"/>
    <x v="6"/>
    <n v="11"/>
    <n v="0"/>
    <s v="BR Doctrove"/>
    <s v="SK Tarapore"/>
  </r>
  <r>
    <n v="230"/>
    <s v="Kolkata"/>
    <x v="2"/>
    <d v="2010-04-19T00:00:00"/>
    <x v="94"/>
    <x v="4"/>
    <s v="Mumbai Indians"/>
    <s v="Kolkata Knight Riders"/>
    <x v="3"/>
    <x v="1"/>
    <s v="normal"/>
    <x v="0"/>
    <n v="0"/>
    <n v="9"/>
    <s v="BG Jerling"/>
    <s v="RE Koertzen"/>
  </r>
  <r>
    <n v="231"/>
    <s v="Mumbai"/>
    <x v="2"/>
    <d v="2010-04-21T00:00:00"/>
    <x v="90"/>
    <x v="8"/>
    <s v="Mumbai Indians"/>
    <s v="Royal Challengers Bangalore"/>
    <x v="3"/>
    <x v="1"/>
    <s v="normal"/>
    <x v="7"/>
    <n v="35"/>
    <n v="0"/>
    <s v="BR Doctrove"/>
    <s v="RB Tiffin"/>
  </r>
  <r>
    <n v="232"/>
    <s v="Mumbai"/>
    <x v="2"/>
    <d v="2010-04-22T00:00:00"/>
    <x v="95"/>
    <x v="8"/>
    <s v="Chennai Super Kings"/>
    <s v="Deccan Chargers"/>
    <x v="1"/>
    <x v="1"/>
    <s v="normal"/>
    <x v="1"/>
    <n v="38"/>
    <n v="0"/>
    <s v="BR Doctrove"/>
    <s v="RB Tiffin"/>
  </r>
  <r>
    <n v="233"/>
    <s v="Mumbai"/>
    <x v="2"/>
    <d v="2010-04-24T00:00:00"/>
    <x v="34"/>
    <x v="8"/>
    <s v="Deccan Chargers"/>
    <s v="Royal Challengers Bangalore"/>
    <x v="4"/>
    <x v="1"/>
    <s v="normal"/>
    <x v="3"/>
    <n v="0"/>
    <n v="9"/>
    <s v="RE Koertzen"/>
    <s v="SJA Taufel"/>
  </r>
  <r>
    <n v="234"/>
    <s v="Mumbai"/>
    <x v="2"/>
    <d v="2010-04-25T00:00:00"/>
    <x v="39"/>
    <x v="8"/>
    <s v="Chennai Super Kings"/>
    <s v="Mumbai Indians"/>
    <x v="1"/>
    <x v="1"/>
    <s v="normal"/>
    <x v="1"/>
    <n v="22"/>
    <n v="0"/>
    <s v="RE Koertzen"/>
    <s v="SJA Taufel"/>
  </r>
  <r>
    <n v="235"/>
    <s v="Chennai"/>
    <x v="3"/>
    <d v="2011-04-08T00:00:00"/>
    <x v="96"/>
    <x v="7"/>
    <s v="Chennai Super Kings"/>
    <s v="Kolkata Knight Riders"/>
    <x v="1"/>
    <x v="1"/>
    <s v="normal"/>
    <x v="1"/>
    <n v="2"/>
    <n v="0"/>
    <s v="BR Doctrove"/>
    <s v="PR Reiffel"/>
  </r>
  <r>
    <n v="236"/>
    <s v="Hyderabad"/>
    <x v="3"/>
    <d v="2011-04-09T00:00:00"/>
    <x v="97"/>
    <x v="6"/>
    <s v="Deccan Chargers"/>
    <s v="Rajasthan Royals"/>
    <x v="2"/>
    <x v="0"/>
    <s v="normal"/>
    <x v="4"/>
    <n v="0"/>
    <n v="8"/>
    <s v="RE Koertzen"/>
    <s v="SK Tarapore"/>
  </r>
  <r>
    <n v="237"/>
    <s v="Kochi"/>
    <x v="3"/>
    <d v="2011-04-09T00:00:00"/>
    <x v="46"/>
    <x v="22"/>
    <s v="Kochi Tuskers Kerala"/>
    <s v="Royal Challengers Bangalore"/>
    <x v="8"/>
    <x v="1"/>
    <s v="normal"/>
    <x v="3"/>
    <n v="0"/>
    <n v="6"/>
    <s v="HDPK Dharmasena"/>
    <s v="K Hariharan"/>
  </r>
  <r>
    <n v="238"/>
    <s v="Delhi"/>
    <x v="3"/>
    <d v="2011-04-10T00:00:00"/>
    <x v="80"/>
    <x v="2"/>
    <s v="Delhi Daredevils"/>
    <s v="Mumbai Indians"/>
    <x v="7"/>
    <x v="1"/>
    <s v="normal"/>
    <x v="7"/>
    <n v="0"/>
    <n v="8"/>
    <s v="AM Saheba"/>
    <s v="RB Tiffin"/>
  </r>
  <r>
    <n v="239"/>
    <s v="Mumbai"/>
    <x v="3"/>
    <d v="2011-04-10T00:00:00"/>
    <x v="98"/>
    <x v="8"/>
    <s v="Kings XI Punjab"/>
    <s v="Pune Warriors"/>
    <x v="5"/>
    <x v="1"/>
    <s v="normal"/>
    <x v="8"/>
    <n v="0"/>
    <n v="7"/>
    <s v="BR Doctrove"/>
    <s v="PR Reiffel"/>
  </r>
  <r>
    <n v="240"/>
    <s v="Kolkata"/>
    <x v="3"/>
    <d v="2011-04-11T00:00:00"/>
    <x v="55"/>
    <x v="4"/>
    <s v="Kolkata Knight Riders"/>
    <s v="Deccan Chargers"/>
    <x v="6"/>
    <x v="1"/>
    <s v="normal"/>
    <x v="0"/>
    <n v="9"/>
    <n v="0"/>
    <s v="RE Koertzen"/>
    <s v="SK Tarapore"/>
  </r>
  <r>
    <n v="241"/>
    <s v="Jaipur"/>
    <x v="3"/>
    <d v="2011-04-12T00:00:00"/>
    <x v="64"/>
    <x v="5"/>
    <s v="Delhi Daredevils"/>
    <s v="Rajasthan Royals"/>
    <x v="7"/>
    <x v="1"/>
    <s v="normal"/>
    <x v="4"/>
    <n v="0"/>
    <n v="6"/>
    <s v="Aleem Dar"/>
    <s v="RB Tiffin"/>
  </r>
  <r>
    <n v="242"/>
    <s v="Bangalore"/>
    <x v="3"/>
    <d v="2011-04-12T00:00:00"/>
    <x v="40"/>
    <x v="0"/>
    <s v="Royal Challengers Bangalore"/>
    <s v="Mumbai Indians"/>
    <x v="3"/>
    <x v="0"/>
    <s v="normal"/>
    <x v="7"/>
    <n v="0"/>
    <n v="9"/>
    <s v="HDPK Dharmasena"/>
    <s v="AL Hill"/>
  </r>
  <r>
    <n v="243"/>
    <s v="Chandigarh"/>
    <x v="3"/>
    <d v="2011-04-13T00:00:00"/>
    <x v="99"/>
    <x v="1"/>
    <s v="Chennai Super Kings"/>
    <s v="Kings XI Punjab"/>
    <x v="5"/>
    <x v="0"/>
    <s v="normal"/>
    <x v="5"/>
    <n v="0"/>
    <n v="6"/>
    <s v="Asad Rauf"/>
    <s v="SL Shastri"/>
  </r>
  <r>
    <n v="244"/>
    <s v="Mumbai"/>
    <x v="3"/>
    <d v="2011-04-13T00:00:00"/>
    <x v="100"/>
    <x v="8"/>
    <s v="Kochi Tuskers Kerala"/>
    <s v="Pune Warriors"/>
    <x v="8"/>
    <x v="1"/>
    <s v="normal"/>
    <x v="8"/>
    <n v="0"/>
    <n v="4"/>
    <s v="S Asnani"/>
    <s v="PR Reiffel"/>
  </r>
  <r>
    <n v="245"/>
    <s v="Hyderabad"/>
    <x v="3"/>
    <d v="2011-04-14T00:00:00"/>
    <x v="101"/>
    <x v="6"/>
    <s v="Deccan Chargers"/>
    <s v="Royal Challengers Bangalore"/>
    <x v="0"/>
    <x v="0"/>
    <s v="normal"/>
    <x v="6"/>
    <n v="33"/>
    <n v="0"/>
    <s v="RE Koertzen"/>
    <s v="S Ravi"/>
  </r>
  <r>
    <n v="246"/>
    <s v="Jaipur"/>
    <x v="3"/>
    <d v="2011-04-15T00:00:00"/>
    <x v="56"/>
    <x v="5"/>
    <s v="Rajasthan Royals"/>
    <s v="Kolkata Knight Riders"/>
    <x v="6"/>
    <x v="0"/>
    <s v="normal"/>
    <x v="0"/>
    <n v="0"/>
    <n v="9"/>
    <s v="Aleem Dar"/>
    <s v="SS Hazare"/>
  </r>
  <r>
    <n v="247"/>
    <s v="Mumbai"/>
    <x v="3"/>
    <d v="2011-04-15T00:00:00"/>
    <x v="0"/>
    <x v="3"/>
    <s v="Mumbai Indians"/>
    <s v="Kochi Tuskers Kerala"/>
    <x v="8"/>
    <x v="0"/>
    <s v="normal"/>
    <x v="9"/>
    <n v="0"/>
    <n v="8"/>
    <s v="BR Doctrove"/>
    <s v="PR Reiffel"/>
  </r>
  <r>
    <n v="248"/>
    <s v="Chennai"/>
    <x v="3"/>
    <d v="2011-04-16T00:00:00"/>
    <x v="1"/>
    <x v="7"/>
    <s v="Chennai Super Kings"/>
    <s v="Royal Challengers Bangalore"/>
    <x v="1"/>
    <x v="1"/>
    <s v="normal"/>
    <x v="1"/>
    <n v="21"/>
    <n v="0"/>
    <s v="HDPK Dharmasena"/>
    <s v="AL Hill"/>
  </r>
  <r>
    <n v="249"/>
    <s v="Hyderabad"/>
    <x v="3"/>
    <d v="2011-04-16T00:00:00"/>
    <x v="99"/>
    <x v="6"/>
    <s v="Deccan Chargers"/>
    <s v="Kings XI Punjab"/>
    <x v="5"/>
    <x v="0"/>
    <s v="normal"/>
    <x v="5"/>
    <n v="0"/>
    <n v="8"/>
    <s v="RE Koertzen"/>
    <s v="S Ravi"/>
  </r>
  <r>
    <n v="250"/>
    <s v="Mumbai"/>
    <x v="3"/>
    <d v="2011-04-17T00:00:00"/>
    <x v="53"/>
    <x v="8"/>
    <s v="Pune Warriors"/>
    <s v="Delhi Daredevils"/>
    <x v="7"/>
    <x v="0"/>
    <s v="normal"/>
    <x v="2"/>
    <n v="0"/>
    <n v="3"/>
    <s v="Asad Rauf"/>
    <s v="AM Saheba"/>
  </r>
  <r>
    <n v="251"/>
    <s v="Kolkata"/>
    <x v="3"/>
    <d v="2011-04-17T00:00:00"/>
    <x v="26"/>
    <x v="4"/>
    <s v="Rajasthan Royals"/>
    <s v="Kolkata Knight Riders"/>
    <x v="6"/>
    <x v="0"/>
    <s v="normal"/>
    <x v="0"/>
    <n v="0"/>
    <n v="8"/>
    <s v="Aleem Dar"/>
    <s v="RB Tiffin"/>
  </r>
  <r>
    <n v="252"/>
    <s v="Kochi"/>
    <x v="3"/>
    <d v="2011-04-18T00:00:00"/>
    <x v="0"/>
    <x v="22"/>
    <s v="Chennai Super Kings"/>
    <s v="Kochi Tuskers Kerala"/>
    <x v="8"/>
    <x v="0"/>
    <s v="normal"/>
    <x v="9"/>
    <n v="0"/>
    <n v="7"/>
    <s v="K Hariharan"/>
    <s v="AL Hill"/>
  </r>
  <r>
    <n v="253"/>
    <s v="Delhi"/>
    <x v="3"/>
    <d v="2011-04-19T00:00:00"/>
    <x v="102"/>
    <x v="2"/>
    <s v="Deccan Chargers"/>
    <s v="Delhi Daredevils"/>
    <x v="4"/>
    <x v="1"/>
    <s v="normal"/>
    <x v="6"/>
    <n v="16"/>
    <n v="0"/>
    <s v="PR Reiffel"/>
    <s v="RJ Tucker"/>
  </r>
  <r>
    <n v="254"/>
    <s v="Mumbai"/>
    <x v="3"/>
    <d v="2011-04-20T00:00:00"/>
    <x v="103"/>
    <x v="3"/>
    <s v="Pune Warriors"/>
    <s v="Mumbai Indians"/>
    <x v="9"/>
    <x v="1"/>
    <s v="normal"/>
    <x v="7"/>
    <n v="0"/>
    <n v="7"/>
    <s v="Asad Rauf"/>
    <s v="AM Saheba"/>
  </r>
  <r>
    <n v="255"/>
    <s v="Kolkata"/>
    <x v="3"/>
    <d v="2011-04-20T00:00:00"/>
    <x v="29"/>
    <x v="4"/>
    <s v="Kochi Tuskers Kerala"/>
    <s v="Kolkata Knight Riders"/>
    <x v="6"/>
    <x v="0"/>
    <s v="normal"/>
    <x v="9"/>
    <n v="6"/>
    <n v="0"/>
    <s v="Aleem Dar"/>
    <s v="RB Tiffin"/>
  </r>
  <r>
    <n v="256"/>
    <s v="Chandigarh"/>
    <x v="3"/>
    <d v="2011-04-21T00:00:00"/>
    <x v="16"/>
    <x v="1"/>
    <s v="Kings XI Punjab"/>
    <s v="Rajasthan Royals"/>
    <x v="2"/>
    <x v="0"/>
    <s v="normal"/>
    <x v="5"/>
    <n v="48"/>
    <n v="0"/>
    <s v="S Asnani"/>
    <s v="PR Reiffel"/>
  </r>
  <r>
    <n v="257"/>
    <s v="Mumbai"/>
    <x v="3"/>
    <d v="2011-04-22T00:00:00"/>
    <x v="62"/>
    <x v="3"/>
    <s v="Mumbai Indians"/>
    <s v="Chennai Super Kings"/>
    <x v="1"/>
    <x v="0"/>
    <s v="normal"/>
    <x v="7"/>
    <n v="8"/>
    <n v="0"/>
    <s v="Asad Rauf"/>
    <s v="AM Saheba"/>
  </r>
  <r>
    <n v="258"/>
    <s v="Kolkata"/>
    <x v="3"/>
    <d v="2011-04-22T00:00:00"/>
    <x v="45"/>
    <x v="4"/>
    <s v="Kolkata Knight Riders"/>
    <s v="Royal Challengers Bangalore"/>
    <x v="0"/>
    <x v="0"/>
    <s v="normal"/>
    <x v="3"/>
    <n v="0"/>
    <n v="9"/>
    <s v="SS Hazare"/>
    <s v="RB Tiffin"/>
  </r>
  <r>
    <n v="259"/>
    <s v="Delhi"/>
    <x v="3"/>
    <d v="2011-04-23T00:00:00"/>
    <x v="79"/>
    <x v="2"/>
    <s v="Delhi Daredevils"/>
    <s v="Kings XI Punjab"/>
    <x v="5"/>
    <x v="0"/>
    <s v="normal"/>
    <x v="2"/>
    <n v="29"/>
    <n v="0"/>
    <s v="S Asnani"/>
    <s v="RE Koertzen"/>
  </r>
  <r>
    <n v="260"/>
    <s v="Hyderabad"/>
    <x v="3"/>
    <d v="2011-04-24T00:00:00"/>
    <x v="80"/>
    <x v="6"/>
    <s v="Mumbai Indians"/>
    <s v="Deccan Chargers"/>
    <x v="4"/>
    <x v="0"/>
    <s v="normal"/>
    <x v="7"/>
    <n v="37"/>
    <n v="0"/>
    <s v="HDPK Dharmasena"/>
    <s v="AL Hill"/>
  </r>
  <r>
    <n v="261"/>
    <s v="Jaipur"/>
    <x v="3"/>
    <d v="2011-04-24T00:00:00"/>
    <x v="64"/>
    <x v="5"/>
    <s v="Kochi Tuskers Kerala"/>
    <s v="Rajasthan Royals"/>
    <x v="2"/>
    <x v="0"/>
    <s v="normal"/>
    <x v="4"/>
    <n v="0"/>
    <n v="8"/>
    <s v="BR Doctrove"/>
    <s v="SK Tarapore"/>
  </r>
  <r>
    <n v="262"/>
    <s v="Chennai"/>
    <x v="3"/>
    <d v="2011-04-25T00:00:00"/>
    <x v="1"/>
    <x v="7"/>
    <s v="Chennai Super Kings"/>
    <s v="Pune Warriors"/>
    <x v="9"/>
    <x v="0"/>
    <s v="normal"/>
    <x v="1"/>
    <n v="25"/>
    <n v="0"/>
    <s v="Aleem Dar"/>
    <s v="RB Tiffin"/>
  </r>
  <r>
    <n v="263"/>
    <s v="Delhi"/>
    <x v="3"/>
    <d v="2011-04-26T00:00:00"/>
    <x v="104"/>
    <x v="2"/>
    <s v="Delhi Daredevils"/>
    <s v="Royal Challengers Bangalore"/>
    <x v="0"/>
    <x v="0"/>
    <s v="normal"/>
    <x v="3"/>
    <n v="0"/>
    <n v="3"/>
    <s v="S Asnani"/>
    <s v="RJ Tucker"/>
  </r>
  <r>
    <n v="264"/>
    <s v="Mumbai"/>
    <x v="3"/>
    <d v="2011-04-27T00:00:00"/>
    <x v="95"/>
    <x v="8"/>
    <s v="Pune Warriors"/>
    <s v="Chennai Super Kings"/>
    <x v="9"/>
    <x v="1"/>
    <s v="normal"/>
    <x v="1"/>
    <n v="0"/>
    <n v="8"/>
    <s v="Asad Rauf"/>
    <s v="SL Shastri"/>
  </r>
  <r>
    <n v="265"/>
    <s v="Kochi"/>
    <x v="3"/>
    <d v="2011-04-27T00:00:00"/>
    <x v="105"/>
    <x v="22"/>
    <s v="Deccan Chargers"/>
    <s v="Kochi Tuskers Kerala"/>
    <x v="8"/>
    <x v="0"/>
    <s v="normal"/>
    <x v="6"/>
    <n v="55"/>
    <n v="0"/>
    <s v="HDPK Dharmasena"/>
    <s v="AL Hill"/>
  </r>
  <r>
    <n v="266"/>
    <s v="Delhi"/>
    <x v="3"/>
    <d v="2011-04-28T00:00:00"/>
    <x v="70"/>
    <x v="2"/>
    <s v="Kolkata Knight Riders"/>
    <s v="Delhi Daredevils"/>
    <x v="7"/>
    <x v="0"/>
    <s v="normal"/>
    <x v="0"/>
    <n v="17"/>
    <n v="0"/>
    <s v="PR Reiffel"/>
    <s v="RJ Tucker"/>
  </r>
  <r>
    <n v="267"/>
    <s v="Jaipur"/>
    <x v="3"/>
    <d v="2011-04-29T00:00:00"/>
    <x v="106"/>
    <x v="5"/>
    <s v="Mumbai Indians"/>
    <s v="Rajasthan Royals"/>
    <x v="2"/>
    <x v="0"/>
    <s v="normal"/>
    <x v="4"/>
    <n v="0"/>
    <n v="7"/>
    <s v="Asad Rauf"/>
    <s v="SK Tarapore"/>
  </r>
  <r>
    <n v="268"/>
    <s v="Bangalore"/>
    <x v="3"/>
    <d v="2011-04-29T00:00:00"/>
    <x v="104"/>
    <x v="0"/>
    <s v="Royal Challengers Bangalore"/>
    <s v="Pune Warriors"/>
    <x v="9"/>
    <x v="0"/>
    <s v="normal"/>
    <x v="3"/>
    <n v="26"/>
    <n v="0"/>
    <s v="Aleem Dar"/>
    <s v="SS Hazare"/>
  </r>
  <r>
    <n v="269"/>
    <s v="Kochi"/>
    <x v="3"/>
    <d v="2011-04-30T00:00:00"/>
    <x v="6"/>
    <x v="22"/>
    <s v="Delhi Daredevils"/>
    <s v="Kochi Tuskers Kerala"/>
    <x v="7"/>
    <x v="1"/>
    <s v="normal"/>
    <x v="2"/>
    <n v="38"/>
    <n v="0"/>
    <s v="HDPK Dharmasena"/>
    <s v="AL Hill"/>
  </r>
  <r>
    <n v="270"/>
    <s v="Kolkata"/>
    <x v="3"/>
    <d v="2011-04-30T00:00:00"/>
    <x v="107"/>
    <x v="4"/>
    <s v="Kings XI Punjab"/>
    <s v="Kolkata Knight Riders"/>
    <x v="6"/>
    <x v="0"/>
    <s v="normal"/>
    <x v="0"/>
    <n v="0"/>
    <n v="8"/>
    <s v="AM Saheba"/>
    <s v="SL Shastri"/>
  </r>
  <r>
    <n v="271"/>
    <s v="Jaipur"/>
    <x v="3"/>
    <d v="2011-05-01T00:00:00"/>
    <x v="61"/>
    <x v="5"/>
    <s v="Pune Warriors"/>
    <s v="Rajasthan Royals"/>
    <x v="2"/>
    <x v="0"/>
    <s v="normal"/>
    <x v="4"/>
    <n v="0"/>
    <n v="6"/>
    <s v="SK Tarapore"/>
    <s v="SJA Taufel"/>
  </r>
  <r>
    <n v="272"/>
    <s v="Chennai"/>
    <x v="3"/>
    <d v="2011-05-01T00:00:00"/>
    <x v="36"/>
    <x v="7"/>
    <s v="Chennai Super Kings"/>
    <s v="Deccan Chargers"/>
    <x v="1"/>
    <x v="1"/>
    <s v="normal"/>
    <x v="1"/>
    <n v="19"/>
    <n v="0"/>
    <s v="Aleem Dar"/>
    <s v="RB Tiffin"/>
  </r>
  <r>
    <n v="273"/>
    <s v="Mumbai"/>
    <x v="3"/>
    <d v="2011-05-02T00:00:00"/>
    <x v="90"/>
    <x v="3"/>
    <s v="Mumbai Indians"/>
    <s v="Kings XI Punjab"/>
    <x v="5"/>
    <x v="0"/>
    <s v="normal"/>
    <x v="7"/>
    <n v="23"/>
    <n v="0"/>
    <s v="HDPK Dharmasena"/>
    <s v="PR Reiffel"/>
  </r>
  <r>
    <n v="274"/>
    <s v="Delhi"/>
    <x v="3"/>
    <d v="2011-05-02T00:00:00"/>
    <x v="108"/>
    <x v="2"/>
    <s v="Delhi Daredevils"/>
    <s v="Kochi Tuskers Kerala"/>
    <x v="8"/>
    <x v="0"/>
    <s v="normal"/>
    <x v="9"/>
    <n v="0"/>
    <n v="7"/>
    <s v="Asad Rauf"/>
    <s v="SL Shastri"/>
  </r>
  <r>
    <n v="275"/>
    <s v="Hyderabad"/>
    <x v="3"/>
    <d v="2011-05-03T00:00:00"/>
    <x v="8"/>
    <x v="6"/>
    <s v="Kolkata Knight Riders"/>
    <s v="Deccan Chargers"/>
    <x v="4"/>
    <x v="0"/>
    <s v="normal"/>
    <x v="0"/>
    <n v="20"/>
    <n v="0"/>
    <s v="S Asnani"/>
    <s v="RJ Tucker"/>
  </r>
  <r>
    <n v="276"/>
    <s v="Chennai"/>
    <x v="3"/>
    <d v="2011-05-04T00:00:00"/>
    <x v="1"/>
    <x v="7"/>
    <s v="Rajasthan Royals"/>
    <s v="Chennai Super Kings"/>
    <x v="2"/>
    <x v="1"/>
    <s v="normal"/>
    <x v="1"/>
    <n v="0"/>
    <n v="8"/>
    <s v="SS Hazare"/>
    <s v="RB Tiffin"/>
  </r>
  <r>
    <n v="277"/>
    <s v="Mumbai"/>
    <x v="3"/>
    <d v="2011-05-04T00:00:00"/>
    <x v="109"/>
    <x v="8"/>
    <s v="Mumbai Indians"/>
    <s v="Pune Warriors"/>
    <x v="9"/>
    <x v="0"/>
    <s v="normal"/>
    <x v="7"/>
    <n v="21"/>
    <n v="0"/>
    <s v="HDPK Dharmasena"/>
    <s v="SJA Taufel"/>
  </r>
  <r>
    <n v="278"/>
    <s v="Kochi"/>
    <x v="3"/>
    <d v="2011-05-05T00:00:00"/>
    <x v="66"/>
    <x v="22"/>
    <s v="Kochi Tuskers Kerala"/>
    <s v="Kolkata Knight Riders"/>
    <x v="6"/>
    <x v="0"/>
    <s v="normal"/>
    <x v="9"/>
    <n v="17"/>
    <n v="0"/>
    <s v="S Ravi"/>
    <s v="RJ Tucker"/>
  </r>
  <r>
    <n v="279"/>
    <s v="Hyderabad"/>
    <x v="3"/>
    <d v="2011-05-05T00:00:00"/>
    <x v="6"/>
    <x v="6"/>
    <s v="Deccan Chargers"/>
    <s v="Delhi Daredevils"/>
    <x v="7"/>
    <x v="0"/>
    <s v="normal"/>
    <x v="2"/>
    <n v="0"/>
    <n v="4"/>
    <s v="Asad Rauf"/>
    <s v="AM Saheba"/>
  </r>
  <r>
    <n v="280"/>
    <s v="Bangalore"/>
    <x v="3"/>
    <d v="2011-05-06T00:00:00"/>
    <x v="45"/>
    <x v="0"/>
    <s v="Royal Challengers Bangalore"/>
    <s v="Kings XI Punjab"/>
    <x v="5"/>
    <x v="0"/>
    <s v="normal"/>
    <x v="3"/>
    <n v="85"/>
    <n v="0"/>
    <s v="Aleem Dar"/>
    <s v="RB Tiffin"/>
  </r>
  <r>
    <n v="281"/>
    <s v="Kolkata"/>
    <x v="3"/>
    <d v="2011-05-07T00:00:00"/>
    <x v="107"/>
    <x v="4"/>
    <s v="Chennai Super Kings"/>
    <s v="Kolkata Knight Riders"/>
    <x v="1"/>
    <x v="1"/>
    <s v="normal"/>
    <x v="0"/>
    <n v="10"/>
    <n v="0"/>
    <s v="Asad Rauf"/>
    <s v="PR Reiffel"/>
  </r>
  <r>
    <n v="282"/>
    <s v="Mumbai"/>
    <x v="3"/>
    <d v="2011-05-07T00:00:00"/>
    <x v="83"/>
    <x v="3"/>
    <s v="Mumbai Indians"/>
    <s v="Delhi Daredevils"/>
    <x v="7"/>
    <x v="0"/>
    <s v="normal"/>
    <x v="7"/>
    <n v="32"/>
    <n v="0"/>
    <s v="K Hariharan"/>
    <s v="SJA Taufel"/>
  </r>
  <r>
    <n v="283"/>
    <s v="Bangalore"/>
    <x v="3"/>
    <d v="2011-05-08T00:00:00"/>
    <x v="45"/>
    <x v="0"/>
    <s v="Kochi Tuskers Kerala"/>
    <s v="Royal Challengers Bangalore"/>
    <x v="8"/>
    <x v="1"/>
    <s v="normal"/>
    <x v="3"/>
    <n v="0"/>
    <n v="9"/>
    <s v="Aleem Dar"/>
    <s v="SS Hazare"/>
  </r>
  <r>
    <n v="284"/>
    <s v="Chandigarh"/>
    <x v="3"/>
    <d v="2011-05-08T00:00:00"/>
    <x v="109"/>
    <x v="1"/>
    <s v="Kings XI Punjab"/>
    <s v="Pune Warriors"/>
    <x v="5"/>
    <x v="1"/>
    <s v="normal"/>
    <x v="8"/>
    <n v="0"/>
    <n v="5"/>
    <s v="SK Tarapore"/>
    <s v="RJ Tucker"/>
  </r>
  <r>
    <n v="285"/>
    <s v="Jaipur"/>
    <x v="3"/>
    <d v="2011-05-09T00:00:00"/>
    <x v="81"/>
    <x v="5"/>
    <s v="Chennai Super Kings"/>
    <s v="Rajasthan Royals"/>
    <x v="2"/>
    <x v="0"/>
    <s v="normal"/>
    <x v="1"/>
    <n v="63"/>
    <n v="0"/>
    <s v="K Hariharan"/>
    <s v="SJA Taufel"/>
  </r>
  <r>
    <n v="286"/>
    <s v="Hyderabad"/>
    <x v="3"/>
    <d v="2011-05-10T00:00:00"/>
    <x v="110"/>
    <x v="6"/>
    <s v="Deccan Chargers"/>
    <s v="Pune Warriors"/>
    <x v="4"/>
    <x v="1"/>
    <s v="normal"/>
    <x v="8"/>
    <n v="0"/>
    <n v="6"/>
    <s v="Asad Rauf"/>
    <s v="AM Saheba"/>
  </r>
  <r>
    <n v="287"/>
    <s v="Chandigarh"/>
    <x v="3"/>
    <d v="2011-05-10T00:00:00"/>
    <x v="111"/>
    <x v="1"/>
    <s v="Kings XI Punjab"/>
    <s v="Mumbai Indians"/>
    <x v="3"/>
    <x v="0"/>
    <s v="normal"/>
    <x v="5"/>
    <n v="76"/>
    <n v="0"/>
    <s v="SK Tarapore"/>
    <s v="RJ Tucker"/>
  </r>
  <r>
    <n v="288"/>
    <s v="Jaipur"/>
    <x v="3"/>
    <d v="2011-05-11T00:00:00"/>
    <x v="112"/>
    <x v="5"/>
    <s v="Rajasthan Royals"/>
    <s v="Royal Challengers Bangalore"/>
    <x v="0"/>
    <x v="0"/>
    <s v="normal"/>
    <x v="3"/>
    <n v="0"/>
    <n v="9"/>
    <s v="HDPK Dharmasena"/>
    <s v="K Hariharan"/>
  </r>
  <r>
    <n v="289"/>
    <s v="Chennai"/>
    <x v="3"/>
    <d v="2011-05-12T00:00:00"/>
    <x v="13"/>
    <x v="7"/>
    <s v="Chennai Super Kings"/>
    <s v="Delhi Daredevils"/>
    <x v="1"/>
    <x v="1"/>
    <s v="normal"/>
    <x v="1"/>
    <n v="18"/>
    <n v="0"/>
    <s v="AM Saheba"/>
    <s v="SL Shastri"/>
  </r>
  <r>
    <n v="290"/>
    <s v="Indore"/>
    <x v="3"/>
    <d v="2011-05-13T00:00:00"/>
    <x v="35"/>
    <x v="23"/>
    <s v="Kochi Tuskers Kerala"/>
    <s v="Kings XI Punjab"/>
    <x v="5"/>
    <x v="0"/>
    <s v="normal"/>
    <x v="5"/>
    <n v="0"/>
    <n v="6"/>
    <s v="S Asnani"/>
    <s v="RJ Tucker"/>
  </r>
  <r>
    <n v="291"/>
    <s v="Bangalore"/>
    <x v="3"/>
    <d v="2011-05-14T00:00:00"/>
    <x v="45"/>
    <x v="0"/>
    <s v="Kolkata Knight Riders"/>
    <s v="Royal Challengers Bangalore"/>
    <x v="0"/>
    <x v="0"/>
    <s v="normal"/>
    <x v="3"/>
    <n v="0"/>
    <n v="4"/>
    <s v="RE Koertzen"/>
    <s v="RB Tiffin"/>
  </r>
  <r>
    <n v="292"/>
    <s v="Mumbai"/>
    <x v="3"/>
    <d v="2011-05-14T00:00:00"/>
    <x v="28"/>
    <x v="3"/>
    <s v="Deccan Chargers"/>
    <s v="Mumbai Indians"/>
    <x v="4"/>
    <x v="1"/>
    <s v="normal"/>
    <x v="6"/>
    <n v="10"/>
    <n v="0"/>
    <s v="S Ravi"/>
    <s v="SK Tarapore"/>
  </r>
  <r>
    <n v="293"/>
    <s v="Dharamsala"/>
    <x v="3"/>
    <d v="2011-05-15T00:00:00"/>
    <x v="88"/>
    <x v="21"/>
    <s v="Kings XI Punjab"/>
    <s v="Delhi Daredevils"/>
    <x v="7"/>
    <x v="0"/>
    <s v="normal"/>
    <x v="5"/>
    <n v="29"/>
    <n v="0"/>
    <s v="Asad Rauf"/>
    <s v="SL Shastri"/>
  </r>
  <r>
    <n v="294"/>
    <s v="Indore"/>
    <x v="3"/>
    <d v="2011-05-15T00:00:00"/>
    <x v="66"/>
    <x v="23"/>
    <s v="Rajasthan Royals"/>
    <s v="Kochi Tuskers Kerala"/>
    <x v="8"/>
    <x v="0"/>
    <s v="normal"/>
    <x v="9"/>
    <n v="0"/>
    <n v="8"/>
    <s v="PR Reiffel"/>
    <s v="RJ Tucker"/>
  </r>
  <r>
    <n v="295"/>
    <s v="Mumbai"/>
    <x v="3"/>
    <d v="2011-05-16T00:00:00"/>
    <x v="28"/>
    <x v="8"/>
    <s v="Pune Warriors"/>
    <s v="Deccan Chargers"/>
    <x v="4"/>
    <x v="0"/>
    <s v="normal"/>
    <x v="6"/>
    <n v="0"/>
    <n v="6"/>
    <s v="S Ravi"/>
    <s v="SK Tarapore"/>
  </r>
  <r>
    <n v="296"/>
    <s v="Dharamsala"/>
    <x v="3"/>
    <d v="2011-05-17T00:00:00"/>
    <x v="11"/>
    <x v="21"/>
    <s v="Kings XI Punjab"/>
    <s v="Royal Challengers Bangalore"/>
    <x v="5"/>
    <x v="1"/>
    <s v="normal"/>
    <x v="5"/>
    <n v="111"/>
    <n v="0"/>
    <s v="Asad Rauf"/>
    <s v="AM Saheba"/>
  </r>
  <r>
    <n v="297"/>
    <s v="Chennai"/>
    <x v="3"/>
    <d v="2011-05-18T00:00:00"/>
    <x v="113"/>
    <x v="7"/>
    <s v="Chennai Super Kings"/>
    <s v="Kochi Tuskers Kerala"/>
    <x v="1"/>
    <x v="1"/>
    <s v="normal"/>
    <x v="1"/>
    <n v="11"/>
    <n v="0"/>
    <s v="HDPK Dharmasena"/>
    <s v="RE Koertzen"/>
  </r>
  <r>
    <n v="298"/>
    <s v="Mumbai"/>
    <x v="3"/>
    <d v="2011-05-19T00:00:00"/>
    <x v="8"/>
    <x v="8"/>
    <s v="Pune Warriors"/>
    <s v="Kolkata Knight Riders"/>
    <x v="6"/>
    <x v="0"/>
    <s v="normal"/>
    <x v="0"/>
    <n v="0"/>
    <n v="7"/>
    <s v="S Ravi"/>
    <s v="SJA Taufel"/>
  </r>
  <r>
    <n v="299"/>
    <s v="Mumbai"/>
    <x v="3"/>
    <d v="2011-05-20T00:00:00"/>
    <x v="5"/>
    <x v="3"/>
    <s v="Mumbai Indians"/>
    <s v="Rajasthan Royals"/>
    <x v="3"/>
    <x v="1"/>
    <s v="normal"/>
    <x v="4"/>
    <n v="0"/>
    <n v="10"/>
    <s v="RE Koertzen"/>
    <s v="PR Reiffel"/>
  </r>
  <r>
    <n v="300"/>
    <s v="Dharamsala"/>
    <x v="3"/>
    <d v="2011-05-21T00:00:00"/>
    <x v="114"/>
    <x v="21"/>
    <s v="Deccan Chargers"/>
    <s v="Kings XI Punjab"/>
    <x v="5"/>
    <x v="0"/>
    <s v="normal"/>
    <x v="6"/>
    <n v="82"/>
    <n v="0"/>
    <s v="Asad Rauf"/>
    <s v="AM Saheba"/>
  </r>
  <r>
    <n v="301"/>
    <s v="Delhi"/>
    <x v="3"/>
    <d v="2011-05-21T00:00:00"/>
    <x v="115"/>
    <x v="2"/>
    <s v="Delhi Daredevils"/>
    <s v="Pune Warriors"/>
    <x v="7"/>
    <x v="1"/>
    <s v="no result"/>
    <x v="10"/>
    <n v="0"/>
    <n v="0"/>
    <s v="SS Hazare"/>
    <s v="RJ Tucker"/>
  </r>
  <r>
    <n v="302"/>
    <s v="Bangalore"/>
    <x v="3"/>
    <d v="2011-05-22T00:00:00"/>
    <x v="45"/>
    <x v="0"/>
    <s v="Chennai Super Kings"/>
    <s v="Royal Challengers Bangalore"/>
    <x v="0"/>
    <x v="0"/>
    <s v="normal"/>
    <x v="3"/>
    <n v="0"/>
    <n v="8"/>
    <s v="K Hariharan"/>
    <s v="RE Koertzen"/>
  </r>
  <r>
    <n v="303"/>
    <s v="Kolkata"/>
    <x v="3"/>
    <d v="2011-05-22T00:00:00"/>
    <x v="116"/>
    <x v="4"/>
    <s v="Kolkata Knight Riders"/>
    <s v="Mumbai Indians"/>
    <x v="3"/>
    <x v="0"/>
    <s v="normal"/>
    <x v="7"/>
    <n v="0"/>
    <n v="5"/>
    <s v="SK Tarapore"/>
    <s v="SJA Taufel"/>
  </r>
  <r>
    <n v="304"/>
    <s v="Mumbai"/>
    <x v="3"/>
    <d v="2011-05-24T00:00:00"/>
    <x v="39"/>
    <x v="3"/>
    <s v="Royal Challengers Bangalore"/>
    <s v="Chennai Super Kings"/>
    <x v="1"/>
    <x v="0"/>
    <s v="normal"/>
    <x v="1"/>
    <n v="0"/>
    <n v="6"/>
    <s v="Asad Rauf"/>
    <s v="SJA Taufel"/>
  </r>
  <r>
    <n v="305"/>
    <s v="Mumbai"/>
    <x v="3"/>
    <d v="2011-05-25T00:00:00"/>
    <x v="103"/>
    <x v="3"/>
    <s v="Kolkata Knight Riders"/>
    <s v="Mumbai Indians"/>
    <x v="3"/>
    <x v="0"/>
    <s v="normal"/>
    <x v="7"/>
    <n v="0"/>
    <n v="4"/>
    <s v="Asad Rauf"/>
    <s v="SJA Taufel"/>
  </r>
  <r>
    <n v="306"/>
    <s v="Chennai"/>
    <x v="3"/>
    <d v="2011-05-27T00:00:00"/>
    <x v="45"/>
    <x v="7"/>
    <s v="Royal Challengers Bangalore"/>
    <s v="Mumbai Indians"/>
    <x v="3"/>
    <x v="0"/>
    <s v="normal"/>
    <x v="3"/>
    <n v="43"/>
    <n v="0"/>
    <s v="Asad Rauf"/>
    <s v="SJA Taufel"/>
  </r>
  <r>
    <n v="307"/>
    <s v="Chennai"/>
    <x v="3"/>
    <d v="2011-05-28T00:00:00"/>
    <x v="81"/>
    <x v="7"/>
    <s v="Chennai Super Kings"/>
    <s v="Royal Challengers Bangalore"/>
    <x v="1"/>
    <x v="1"/>
    <s v="normal"/>
    <x v="1"/>
    <n v="58"/>
    <n v="0"/>
    <s v="Asad Rauf"/>
    <s v="SJA Taufel"/>
  </r>
  <r>
    <n v="308"/>
    <s v="Chennai"/>
    <x v="4"/>
    <d v="2012-04-04T00:00:00"/>
    <x v="117"/>
    <x v="7"/>
    <s v="Chennai Super Kings"/>
    <s v="Mumbai Indians"/>
    <x v="3"/>
    <x v="0"/>
    <s v="normal"/>
    <x v="7"/>
    <n v="0"/>
    <n v="8"/>
    <s v="JD Cloete"/>
    <s v="SJA Taufel"/>
  </r>
  <r>
    <n v="309"/>
    <s v="Kolkata"/>
    <x v="4"/>
    <d v="2012-04-05T00:00:00"/>
    <x v="19"/>
    <x v="4"/>
    <s v="Kolkata Knight Riders"/>
    <s v="Delhi Daredevils"/>
    <x v="7"/>
    <x v="0"/>
    <s v="normal"/>
    <x v="2"/>
    <n v="0"/>
    <n v="8"/>
    <s v="S Asnani"/>
    <s v="HDPK Dharmasena"/>
  </r>
  <r>
    <n v="310"/>
    <s v="Mumbai"/>
    <x v="4"/>
    <d v="2012-04-06T00:00:00"/>
    <x v="118"/>
    <x v="3"/>
    <s v="Pune Warriors"/>
    <s v="Mumbai Indians"/>
    <x v="3"/>
    <x v="0"/>
    <s v="normal"/>
    <x v="8"/>
    <n v="28"/>
    <n v="0"/>
    <s v="AK Chaudhary"/>
    <s v="SJA Taufel"/>
  </r>
  <r>
    <n v="311"/>
    <s v="Jaipur"/>
    <x v="4"/>
    <d v="2012-04-06T00:00:00"/>
    <x v="119"/>
    <x v="5"/>
    <s v="Rajasthan Royals"/>
    <s v="Kings XI Punjab"/>
    <x v="5"/>
    <x v="0"/>
    <s v="normal"/>
    <x v="4"/>
    <n v="31"/>
    <n v="0"/>
    <s v="BF Bowden"/>
    <s v="SK Tarapore"/>
  </r>
  <r>
    <n v="312"/>
    <s v="Bangalore"/>
    <x v="4"/>
    <d v="2012-04-07T00:00:00"/>
    <x v="46"/>
    <x v="0"/>
    <s v="Royal Challengers Bangalore"/>
    <s v="Delhi Daredevils"/>
    <x v="7"/>
    <x v="0"/>
    <s v="normal"/>
    <x v="3"/>
    <n v="20"/>
    <n v="0"/>
    <s v="S Asnani"/>
    <s v="S Ravi"/>
  </r>
  <r>
    <n v="313"/>
    <s v="Visakhapatnam"/>
    <x v="4"/>
    <d v="2012-04-07T00:00:00"/>
    <x v="120"/>
    <x v="24"/>
    <s v="Chennai Super Kings"/>
    <s v="Deccan Chargers"/>
    <x v="4"/>
    <x v="0"/>
    <s v="normal"/>
    <x v="1"/>
    <n v="74"/>
    <n v="0"/>
    <s v="JD Cloete"/>
    <s v="HDPK Dharmasena"/>
  </r>
  <r>
    <n v="314"/>
    <s v="Jaipur"/>
    <x v="4"/>
    <d v="2012-04-08T00:00:00"/>
    <x v="66"/>
    <x v="5"/>
    <s v="Rajasthan Royals"/>
    <s v="Kolkata Knight Riders"/>
    <x v="6"/>
    <x v="0"/>
    <s v="normal"/>
    <x v="4"/>
    <n v="22"/>
    <n v="0"/>
    <s v="BF Bowden"/>
    <s v="VA Kulkarni"/>
  </r>
  <r>
    <n v="315"/>
    <s v="Pune"/>
    <x v="4"/>
    <d v="2012-04-08T00:00:00"/>
    <x v="121"/>
    <x v="25"/>
    <s v="Pune Warriors"/>
    <s v="Kings XI Punjab"/>
    <x v="9"/>
    <x v="1"/>
    <s v="normal"/>
    <x v="8"/>
    <n v="22"/>
    <n v="0"/>
    <s v="S Das"/>
    <s v="SJA Taufel"/>
  </r>
  <r>
    <n v="316"/>
    <s v="Visakhapatnam"/>
    <x v="4"/>
    <d v="2012-04-09T00:00:00"/>
    <x v="57"/>
    <x v="24"/>
    <s v="Deccan Chargers"/>
    <s v="Mumbai Indians"/>
    <x v="4"/>
    <x v="1"/>
    <s v="normal"/>
    <x v="7"/>
    <n v="0"/>
    <n v="5"/>
    <s v="AK Chaudhary"/>
    <s v="JD Cloete"/>
  </r>
  <r>
    <n v="317"/>
    <s v="Bangalore"/>
    <x v="4"/>
    <d v="2012-04-10T00:00:00"/>
    <x v="26"/>
    <x v="0"/>
    <s v="Kolkata Knight Riders"/>
    <s v="Royal Challengers Bangalore"/>
    <x v="0"/>
    <x v="0"/>
    <s v="normal"/>
    <x v="0"/>
    <n v="42"/>
    <n v="0"/>
    <s v="S Ravi"/>
    <s v="RJ Tucker"/>
  </r>
  <r>
    <n v="318"/>
    <s v="Delhi"/>
    <x v="4"/>
    <d v="2012-04-10T00:00:00"/>
    <x v="122"/>
    <x v="2"/>
    <s v="Chennai Super Kings"/>
    <s v="Delhi Daredevils"/>
    <x v="7"/>
    <x v="0"/>
    <s v="normal"/>
    <x v="2"/>
    <n v="0"/>
    <n v="8"/>
    <s v="Asad Rauf"/>
    <s v="SK Tarapore"/>
  </r>
  <r>
    <n v="319"/>
    <s v="Mumbai"/>
    <x v="4"/>
    <d v="2012-04-11T00:00:00"/>
    <x v="90"/>
    <x v="3"/>
    <s v="Mumbai Indians"/>
    <s v="Rajasthan Royals"/>
    <x v="2"/>
    <x v="0"/>
    <s v="normal"/>
    <x v="7"/>
    <n v="27"/>
    <n v="0"/>
    <s v="Aleem Dar"/>
    <s v="BNJ Oxenford"/>
  </r>
  <r>
    <n v="320"/>
    <s v="Chennai"/>
    <x v="4"/>
    <d v="2012-04-12T00:00:00"/>
    <x v="123"/>
    <x v="7"/>
    <s v="Royal Challengers Bangalore"/>
    <s v="Chennai Super Kings"/>
    <x v="0"/>
    <x v="1"/>
    <s v="normal"/>
    <x v="1"/>
    <n v="0"/>
    <n v="5"/>
    <s v="HDPK Dharmasena"/>
    <s v="RJ Tucker"/>
  </r>
  <r>
    <n v="321"/>
    <s v="Chandigarh"/>
    <x v="4"/>
    <d v="2012-04-12T00:00:00"/>
    <x v="124"/>
    <x v="1"/>
    <s v="Pune Warriors"/>
    <s v="Kings XI Punjab"/>
    <x v="5"/>
    <x v="0"/>
    <s v="normal"/>
    <x v="5"/>
    <n v="0"/>
    <n v="7"/>
    <s v="VA Kulkarni"/>
    <s v="SK Tarapore"/>
  </r>
  <r>
    <n v="322"/>
    <s v="Kolkata"/>
    <x v="4"/>
    <d v="2012-04-13T00:00:00"/>
    <x v="125"/>
    <x v="4"/>
    <s v="Rajasthan Royals"/>
    <s v="Kolkata Knight Riders"/>
    <x v="2"/>
    <x v="1"/>
    <s v="normal"/>
    <x v="0"/>
    <n v="0"/>
    <n v="5"/>
    <s v="Asad Rauf"/>
    <s v="S Asnani"/>
  </r>
  <r>
    <n v="323"/>
    <s v="Delhi"/>
    <x v="4"/>
    <d v="2012-04-19T00:00:00"/>
    <x v="82"/>
    <x v="2"/>
    <s v="Deccan Chargers"/>
    <s v="Delhi Daredevils"/>
    <x v="4"/>
    <x v="1"/>
    <s v="normal"/>
    <x v="2"/>
    <n v="0"/>
    <n v="5"/>
    <s v="BF Bowden"/>
    <s v="SK Tarapore"/>
  </r>
  <r>
    <n v="324"/>
    <s v="Pune"/>
    <x v="4"/>
    <d v="2012-04-14T00:00:00"/>
    <x v="126"/>
    <x v="25"/>
    <s v="Chennai Super Kings"/>
    <s v="Pune Warriors"/>
    <x v="1"/>
    <x v="1"/>
    <s v="normal"/>
    <x v="8"/>
    <n v="0"/>
    <n v="7"/>
    <s v="Aleem Dar"/>
    <s v="BNJ Oxenford"/>
  </r>
  <r>
    <n v="325"/>
    <s v="Kolkata"/>
    <x v="4"/>
    <d v="2012-04-15T00:00:00"/>
    <x v="127"/>
    <x v="4"/>
    <s v="Kings XI Punjab"/>
    <s v="Kolkata Knight Riders"/>
    <x v="6"/>
    <x v="0"/>
    <s v="normal"/>
    <x v="5"/>
    <n v="2"/>
    <n v="0"/>
    <s v="Asad Rauf"/>
    <s v="S Asnani"/>
  </r>
  <r>
    <n v="326"/>
    <s v="Bangalore"/>
    <x v="4"/>
    <d v="2012-04-15T00:00:00"/>
    <x v="119"/>
    <x v="0"/>
    <s v="Rajasthan Royals"/>
    <s v="Royal Challengers Bangalore"/>
    <x v="2"/>
    <x v="1"/>
    <s v="normal"/>
    <x v="4"/>
    <n v="59"/>
    <n v="0"/>
    <s v="JD Cloete"/>
    <s v="RJ Tucker"/>
  </r>
  <r>
    <n v="327"/>
    <s v="Mumbai"/>
    <x v="4"/>
    <d v="2012-04-16T00:00:00"/>
    <x v="128"/>
    <x v="3"/>
    <s v="Mumbai Indians"/>
    <s v="Delhi Daredevils"/>
    <x v="7"/>
    <x v="0"/>
    <s v="normal"/>
    <x v="2"/>
    <n v="0"/>
    <n v="7"/>
    <s v="BF Bowden"/>
    <s v="SK Tarapore"/>
  </r>
  <r>
    <n v="328"/>
    <s v="Jaipur"/>
    <x v="4"/>
    <d v="2012-04-17T00:00:00"/>
    <x v="66"/>
    <x v="5"/>
    <s v="Deccan Chargers"/>
    <s v="Rajasthan Royals"/>
    <x v="4"/>
    <x v="1"/>
    <s v="normal"/>
    <x v="4"/>
    <n v="0"/>
    <n v="5"/>
    <s v="Aleem Dar"/>
    <s v="BNJ Oxenford"/>
  </r>
  <r>
    <n v="329"/>
    <s v="Bangalore"/>
    <x v="4"/>
    <d v="2012-04-17T00:00:00"/>
    <x v="45"/>
    <x v="0"/>
    <s v="Pune Warriors"/>
    <s v="Royal Challengers Bangalore"/>
    <x v="9"/>
    <x v="1"/>
    <s v="normal"/>
    <x v="3"/>
    <n v="0"/>
    <n v="6"/>
    <s v="S Asnani"/>
    <s v="S Das"/>
  </r>
  <r>
    <n v="330"/>
    <s v="Chandigarh"/>
    <x v="4"/>
    <d v="2012-04-18T00:00:00"/>
    <x v="56"/>
    <x v="1"/>
    <s v="Kings XI Punjab"/>
    <s v="Kolkata Knight Riders"/>
    <x v="5"/>
    <x v="1"/>
    <s v="normal"/>
    <x v="0"/>
    <n v="0"/>
    <n v="8"/>
    <s v="JD Cloete"/>
    <s v="RJ Tucker"/>
  </r>
  <r>
    <n v="331"/>
    <s v="Hyderabad"/>
    <x v="4"/>
    <d v="2012-05-10T00:00:00"/>
    <x v="79"/>
    <x v="6"/>
    <s v="Deccan Chargers"/>
    <s v="Delhi Daredevils"/>
    <x v="4"/>
    <x v="1"/>
    <s v="normal"/>
    <x v="2"/>
    <n v="0"/>
    <n v="9"/>
    <s v="JD Cloete"/>
    <s v="SJA Taufel"/>
  </r>
  <r>
    <n v="332"/>
    <s v="Chennai"/>
    <x v="4"/>
    <d v="2012-04-19T00:00:00"/>
    <x v="129"/>
    <x v="7"/>
    <s v="Chennai Super Kings"/>
    <s v="Pune Warriors"/>
    <x v="9"/>
    <x v="0"/>
    <s v="normal"/>
    <x v="1"/>
    <n v="13"/>
    <n v="0"/>
    <s v="Asad Rauf"/>
    <s v="S Das"/>
  </r>
  <r>
    <n v="333"/>
    <s v="Chandigarh"/>
    <x v="4"/>
    <d v="2012-04-20T00:00:00"/>
    <x v="45"/>
    <x v="1"/>
    <s v="Kings XI Punjab"/>
    <s v="Royal Challengers Bangalore"/>
    <x v="0"/>
    <x v="0"/>
    <s v="normal"/>
    <x v="3"/>
    <n v="0"/>
    <n v="5"/>
    <s v="S Ravi"/>
    <s v="RJ Tucker"/>
  </r>
  <r>
    <n v="334"/>
    <s v="Chennai"/>
    <x v="4"/>
    <d v="2012-04-21T00:00:00"/>
    <x v="123"/>
    <x v="7"/>
    <s v="Rajasthan Royals"/>
    <s v="Chennai Super Kings"/>
    <x v="2"/>
    <x v="1"/>
    <s v="normal"/>
    <x v="1"/>
    <n v="0"/>
    <n v="7"/>
    <s v="Aleem Dar"/>
    <s v="BNJ Oxenford"/>
  </r>
  <r>
    <n v="335"/>
    <s v="Delhi"/>
    <x v="4"/>
    <d v="2012-04-21T00:00:00"/>
    <x v="24"/>
    <x v="2"/>
    <s v="Pune Warriors"/>
    <s v="Delhi Daredevils"/>
    <x v="7"/>
    <x v="0"/>
    <s v="normal"/>
    <x v="8"/>
    <n v="20"/>
    <n v="0"/>
    <s v="Asad Rauf"/>
    <s v="S Das"/>
  </r>
  <r>
    <n v="336"/>
    <s v="Mumbai"/>
    <x v="4"/>
    <d v="2012-04-22T00:00:00"/>
    <x v="16"/>
    <x v="3"/>
    <s v="Mumbai Indians"/>
    <s v="Kings XI Punjab"/>
    <x v="3"/>
    <x v="1"/>
    <s v="normal"/>
    <x v="5"/>
    <n v="0"/>
    <n v="6"/>
    <s v="S Ravi"/>
    <s v="RJ Tucker"/>
  </r>
  <r>
    <n v="337"/>
    <s v="Cuttack"/>
    <x v="4"/>
    <d v="2012-04-22T00:00:00"/>
    <x v="65"/>
    <x v="19"/>
    <s v="Deccan Chargers"/>
    <s v="Kolkata Knight Riders"/>
    <x v="6"/>
    <x v="0"/>
    <s v="normal"/>
    <x v="0"/>
    <n v="0"/>
    <n v="5"/>
    <s v="BF Bowden"/>
    <s v="SK Tarapore"/>
  </r>
  <r>
    <n v="338"/>
    <s v="Jaipur"/>
    <x v="4"/>
    <d v="2012-04-23T00:00:00"/>
    <x v="46"/>
    <x v="5"/>
    <s v="Royal Challengers Bangalore"/>
    <s v="Rajasthan Royals"/>
    <x v="2"/>
    <x v="0"/>
    <s v="normal"/>
    <x v="3"/>
    <n v="46"/>
    <n v="0"/>
    <s v="Asad Rauf"/>
    <s v="S Asnani"/>
  </r>
  <r>
    <n v="339"/>
    <s v="Pune"/>
    <x v="4"/>
    <d v="2012-04-24T00:00:00"/>
    <x v="6"/>
    <x v="25"/>
    <s v="Pune Warriors"/>
    <s v="Delhi Daredevils"/>
    <x v="9"/>
    <x v="1"/>
    <s v="normal"/>
    <x v="2"/>
    <n v="0"/>
    <n v="8"/>
    <s v="S Ravi"/>
    <s v="RJ Tucker"/>
  </r>
  <r>
    <n v="340"/>
    <s v="Chandigarh"/>
    <x v="4"/>
    <d v="2012-04-25T00:00:00"/>
    <x v="83"/>
    <x v="1"/>
    <s v="Kings XI Punjab"/>
    <s v="Mumbai Indians"/>
    <x v="5"/>
    <x v="1"/>
    <s v="normal"/>
    <x v="7"/>
    <n v="0"/>
    <n v="4"/>
    <s v="Aleem Dar"/>
    <s v="BNJ Oxenford"/>
  </r>
  <r>
    <n v="341"/>
    <s v="Pune"/>
    <x v="4"/>
    <d v="2012-04-26T00:00:00"/>
    <x v="130"/>
    <x v="25"/>
    <s v="Deccan Chargers"/>
    <s v="Pune Warriors"/>
    <x v="4"/>
    <x v="1"/>
    <s v="normal"/>
    <x v="6"/>
    <n v="18"/>
    <n v="0"/>
    <s v="S Ravi"/>
    <s v="RJ Tucker"/>
  </r>
  <r>
    <n v="342"/>
    <s v="Delhi"/>
    <x v="4"/>
    <d v="2012-04-27T00:00:00"/>
    <x v="6"/>
    <x v="2"/>
    <s v="Delhi Daredevils"/>
    <s v="Mumbai Indians"/>
    <x v="3"/>
    <x v="0"/>
    <s v="normal"/>
    <x v="2"/>
    <n v="37"/>
    <n v="0"/>
    <s v="Aleem Dar"/>
    <s v="BNJ Oxenford"/>
  </r>
  <r>
    <n v="343"/>
    <s v="Chennai"/>
    <x v="4"/>
    <d v="2012-04-28T00:00:00"/>
    <x v="131"/>
    <x v="7"/>
    <s v="Kings XI Punjab"/>
    <s v="Chennai Super Kings"/>
    <x v="5"/>
    <x v="1"/>
    <s v="normal"/>
    <x v="5"/>
    <n v="7"/>
    <n v="0"/>
    <s v="BF Bowden"/>
    <s v="SK Tarapore"/>
  </r>
  <r>
    <n v="344"/>
    <s v="Kolkata"/>
    <x v="4"/>
    <d v="2012-04-28T00:00:00"/>
    <x v="56"/>
    <x v="4"/>
    <s v="Kolkata Knight Riders"/>
    <s v="Royal Challengers Bangalore"/>
    <x v="6"/>
    <x v="1"/>
    <s v="normal"/>
    <x v="0"/>
    <n v="47"/>
    <n v="0"/>
    <s v="Asad Rauf"/>
    <s v="BR Doctrove"/>
  </r>
  <r>
    <n v="345"/>
    <s v="Delhi"/>
    <x v="4"/>
    <d v="2012-04-29T00:00:00"/>
    <x v="6"/>
    <x v="2"/>
    <s v="Delhi Daredevils"/>
    <s v="Rajasthan Royals"/>
    <x v="7"/>
    <x v="1"/>
    <s v="normal"/>
    <x v="2"/>
    <n v="1"/>
    <n v="0"/>
    <s v="S Ravi"/>
    <s v="RJ Tucker"/>
  </r>
  <r>
    <n v="346"/>
    <s v="Mumbai"/>
    <x v="4"/>
    <d v="2012-04-29T00:00:00"/>
    <x v="101"/>
    <x v="3"/>
    <s v="Deccan Chargers"/>
    <s v="Mumbai Indians"/>
    <x v="3"/>
    <x v="0"/>
    <s v="normal"/>
    <x v="7"/>
    <n v="0"/>
    <n v="5"/>
    <s v="AK Chaudhary"/>
    <s v="BNJ Oxenford"/>
  </r>
  <r>
    <n v="347"/>
    <s v="Chennai"/>
    <x v="4"/>
    <d v="2012-04-30T00:00:00"/>
    <x v="56"/>
    <x v="7"/>
    <s v="Chennai Super Kings"/>
    <s v="Kolkata Knight Riders"/>
    <x v="1"/>
    <x v="1"/>
    <s v="normal"/>
    <x v="0"/>
    <n v="0"/>
    <n v="5"/>
    <s v="BF Bowden"/>
    <s v="C Shamshuddin"/>
  </r>
  <r>
    <n v="348"/>
    <s v="Cuttack"/>
    <x v="4"/>
    <d v="2012-05-01T00:00:00"/>
    <x v="9"/>
    <x v="19"/>
    <s v="Deccan Chargers"/>
    <s v="Pune Warriors"/>
    <x v="4"/>
    <x v="1"/>
    <s v="normal"/>
    <x v="6"/>
    <n v="13"/>
    <n v="0"/>
    <s v="Aleem Dar"/>
    <s v="AK Chaudhary"/>
  </r>
  <r>
    <n v="349"/>
    <s v="Jaipur"/>
    <x v="4"/>
    <d v="2012-05-01T00:00:00"/>
    <x v="132"/>
    <x v="5"/>
    <s v="Rajasthan Royals"/>
    <s v="Delhi Daredevils"/>
    <x v="2"/>
    <x v="1"/>
    <s v="normal"/>
    <x v="2"/>
    <n v="0"/>
    <n v="6"/>
    <s v="JD Cloete"/>
    <s v="SJA Taufel"/>
  </r>
  <r>
    <n v="350"/>
    <s v="Bangalore"/>
    <x v="4"/>
    <d v="2012-05-02T00:00:00"/>
    <x v="133"/>
    <x v="0"/>
    <s v="Royal Challengers Bangalore"/>
    <s v="Kings XI Punjab"/>
    <x v="5"/>
    <x v="0"/>
    <s v="normal"/>
    <x v="5"/>
    <n v="0"/>
    <n v="4"/>
    <s v="BF Bowden"/>
    <s v="C Shamshuddin"/>
  </r>
  <r>
    <n v="351"/>
    <s v="Pune"/>
    <x v="4"/>
    <d v="2012-05-03T00:00:00"/>
    <x v="80"/>
    <x v="25"/>
    <s v="Mumbai Indians"/>
    <s v="Pune Warriors"/>
    <x v="3"/>
    <x v="1"/>
    <s v="normal"/>
    <x v="7"/>
    <n v="1"/>
    <n v="0"/>
    <s v="Asad Rauf"/>
    <s v="S Asnani"/>
  </r>
  <r>
    <n v="352"/>
    <s v="Chennai"/>
    <x v="4"/>
    <d v="2012-05-04T00:00:00"/>
    <x v="39"/>
    <x v="7"/>
    <s v="Chennai Super Kings"/>
    <s v="Deccan Chargers"/>
    <x v="1"/>
    <x v="1"/>
    <s v="normal"/>
    <x v="1"/>
    <n v="10"/>
    <n v="0"/>
    <s v="HDPK Dharmasena"/>
    <s v="BNJ Oxenford"/>
  </r>
  <r>
    <n v="353"/>
    <s v="Kolkata"/>
    <x v="4"/>
    <d v="2012-05-05T00:00:00"/>
    <x v="127"/>
    <x v="4"/>
    <s v="Kolkata Knight Riders"/>
    <s v="Pune Warriors"/>
    <x v="6"/>
    <x v="1"/>
    <s v="normal"/>
    <x v="0"/>
    <n v="7"/>
    <n v="0"/>
    <s v="BF Bowden"/>
    <s v="SK Tarapore"/>
  </r>
  <r>
    <n v="354"/>
    <s v="Chandigarh"/>
    <x v="4"/>
    <d v="2012-05-05T00:00:00"/>
    <x v="5"/>
    <x v="1"/>
    <s v="Rajasthan Royals"/>
    <s v="Kings XI Punjab"/>
    <x v="2"/>
    <x v="1"/>
    <s v="normal"/>
    <x v="4"/>
    <n v="43"/>
    <n v="0"/>
    <s v="JD Cloete"/>
    <s v="SJA Taufel"/>
  </r>
  <r>
    <n v="355"/>
    <s v="Mumbai"/>
    <x v="4"/>
    <d v="2012-05-06T00:00:00"/>
    <x v="60"/>
    <x v="3"/>
    <s v="Chennai Super Kings"/>
    <s v="Mumbai Indians"/>
    <x v="3"/>
    <x v="0"/>
    <s v="normal"/>
    <x v="7"/>
    <n v="0"/>
    <n v="2"/>
    <s v="Asad Rauf"/>
    <s v="S Asnani"/>
  </r>
  <r>
    <n v="356"/>
    <s v="Bangalore"/>
    <x v="4"/>
    <d v="2012-05-06T00:00:00"/>
    <x v="46"/>
    <x v="0"/>
    <s v="Deccan Chargers"/>
    <s v="Royal Challengers Bangalore"/>
    <x v="0"/>
    <x v="0"/>
    <s v="normal"/>
    <x v="3"/>
    <n v="0"/>
    <n v="5"/>
    <s v="HDPK Dharmasena"/>
    <s v="BNJ Oxenford"/>
  </r>
  <r>
    <n v="357"/>
    <s v="Delhi"/>
    <x v="4"/>
    <d v="2012-05-07T00:00:00"/>
    <x v="55"/>
    <x v="2"/>
    <s v="Delhi Daredevils"/>
    <s v="Kolkata Knight Riders"/>
    <x v="7"/>
    <x v="1"/>
    <s v="normal"/>
    <x v="0"/>
    <n v="0"/>
    <n v="6"/>
    <s v="JD Cloete"/>
    <s v="S Ravi"/>
  </r>
  <r>
    <n v="358"/>
    <s v="Pune"/>
    <x v="4"/>
    <d v="2012-05-08T00:00:00"/>
    <x v="5"/>
    <x v="25"/>
    <s v="Pune Warriors"/>
    <s v="Rajasthan Royals"/>
    <x v="9"/>
    <x v="1"/>
    <s v="normal"/>
    <x v="4"/>
    <n v="0"/>
    <n v="7"/>
    <s v="Asad Rauf"/>
    <s v="BR Doctrove"/>
  </r>
  <r>
    <n v="359"/>
    <s v="Hyderabad"/>
    <x v="4"/>
    <d v="2012-05-08T00:00:00"/>
    <x v="131"/>
    <x v="6"/>
    <s v="Kings XI Punjab"/>
    <s v="Deccan Chargers"/>
    <x v="4"/>
    <x v="0"/>
    <s v="normal"/>
    <x v="5"/>
    <n v="25"/>
    <n v="0"/>
    <s v="HDPK Dharmasena"/>
    <s v="BNJ Oxenford"/>
  </r>
  <r>
    <n v="360"/>
    <s v="Mumbai"/>
    <x v="4"/>
    <d v="2012-05-09T00:00:00"/>
    <x v="45"/>
    <x v="3"/>
    <s v="Mumbai Indians"/>
    <s v="Royal Challengers Bangalore"/>
    <x v="0"/>
    <x v="0"/>
    <s v="normal"/>
    <x v="3"/>
    <n v="0"/>
    <n v="9"/>
    <s v="BF Bowden"/>
    <s v="VA Kulkarni"/>
  </r>
  <r>
    <n v="361"/>
    <s v="Jaipur"/>
    <x v="4"/>
    <d v="2012-05-10T00:00:00"/>
    <x v="134"/>
    <x v="5"/>
    <s v="Rajasthan Royals"/>
    <s v="Chennai Super Kings"/>
    <x v="1"/>
    <x v="0"/>
    <s v="normal"/>
    <x v="1"/>
    <n v="0"/>
    <n v="4"/>
    <s v="BNJ Oxenford"/>
    <s v="C Shamshuddin"/>
  </r>
  <r>
    <n v="362"/>
    <s v="Pune"/>
    <x v="4"/>
    <d v="2012-05-11T00:00:00"/>
    <x v="45"/>
    <x v="25"/>
    <s v="Royal Challengers Bangalore"/>
    <s v="Pune Warriors"/>
    <x v="9"/>
    <x v="0"/>
    <s v="normal"/>
    <x v="3"/>
    <n v="35"/>
    <n v="0"/>
    <s v="BF Bowden"/>
    <s v="SK Tarapore"/>
  </r>
  <r>
    <n v="363"/>
    <s v="Kolkata"/>
    <x v="4"/>
    <d v="2012-05-12T00:00:00"/>
    <x v="57"/>
    <x v="4"/>
    <s v="Mumbai Indians"/>
    <s v="Kolkata Knight Riders"/>
    <x v="3"/>
    <x v="1"/>
    <s v="normal"/>
    <x v="7"/>
    <n v="27"/>
    <n v="0"/>
    <s v="S Ravi"/>
    <s v="SJA Taufel"/>
  </r>
  <r>
    <n v="364"/>
    <s v="Chennai"/>
    <x v="4"/>
    <d v="2012-05-12T00:00:00"/>
    <x v="134"/>
    <x v="7"/>
    <s v="Delhi Daredevils"/>
    <s v="Chennai Super Kings"/>
    <x v="1"/>
    <x v="0"/>
    <s v="normal"/>
    <x v="1"/>
    <n v="0"/>
    <n v="9"/>
    <s v="S Das"/>
    <s v="BR Doctrove"/>
  </r>
  <r>
    <n v="365"/>
    <s v="Jaipur"/>
    <x v="4"/>
    <d v="2012-05-13T00:00:00"/>
    <x v="135"/>
    <x v="5"/>
    <s v="Rajasthan Royals"/>
    <s v="Pune Warriors"/>
    <x v="2"/>
    <x v="1"/>
    <s v="normal"/>
    <x v="4"/>
    <n v="45"/>
    <n v="0"/>
    <s v="BF Bowden"/>
    <s v="SK Tarapore"/>
  </r>
  <r>
    <n v="366"/>
    <s v="Chandigarh"/>
    <x v="4"/>
    <d v="2012-05-13T00:00:00"/>
    <x v="4"/>
    <x v="1"/>
    <s v="Deccan Chargers"/>
    <s v="Kings XI Punjab"/>
    <x v="4"/>
    <x v="1"/>
    <s v="normal"/>
    <x v="5"/>
    <n v="0"/>
    <n v="4"/>
    <s v="HDPK Dharmasena"/>
    <s v="BNJ Oxenford"/>
  </r>
  <r>
    <n v="367"/>
    <s v="Bangalore"/>
    <x v="4"/>
    <d v="2012-05-14T00:00:00"/>
    <x v="83"/>
    <x v="0"/>
    <s v="Royal Challengers Bangalore"/>
    <s v="Mumbai Indians"/>
    <x v="3"/>
    <x v="0"/>
    <s v="normal"/>
    <x v="7"/>
    <n v="0"/>
    <n v="5"/>
    <s v="S Das"/>
    <s v="BR Doctrove"/>
  </r>
  <r>
    <n v="368"/>
    <s v="Kolkata"/>
    <x v="4"/>
    <d v="2012-05-14T00:00:00"/>
    <x v="1"/>
    <x v="4"/>
    <s v="Kolkata Knight Riders"/>
    <s v="Chennai Super Kings"/>
    <x v="1"/>
    <x v="0"/>
    <s v="normal"/>
    <x v="1"/>
    <n v="0"/>
    <n v="5"/>
    <s v="JD Cloete"/>
    <s v="SJA Taufel"/>
  </r>
  <r>
    <n v="369"/>
    <s v="Delhi"/>
    <x v="4"/>
    <d v="2012-05-15T00:00:00"/>
    <x v="136"/>
    <x v="2"/>
    <s v="Kings XI Punjab"/>
    <s v="Delhi Daredevils"/>
    <x v="5"/>
    <x v="1"/>
    <s v="normal"/>
    <x v="2"/>
    <n v="0"/>
    <n v="5"/>
    <s v="HDPK Dharmasena"/>
    <s v="BNJ Oxenford"/>
  </r>
  <r>
    <n v="370"/>
    <s v="Mumbai"/>
    <x v="4"/>
    <d v="2012-05-16T00:00:00"/>
    <x v="127"/>
    <x v="3"/>
    <s v="Kolkata Knight Riders"/>
    <s v="Mumbai Indians"/>
    <x v="3"/>
    <x v="0"/>
    <s v="normal"/>
    <x v="0"/>
    <n v="32"/>
    <n v="0"/>
    <s v="S Das"/>
    <s v="BR Doctrove"/>
  </r>
  <r>
    <n v="371"/>
    <s v="Dharamsala"/>
    <x v="4"/>
    <d v="2012-05-17T00:00:00"/>
    <x v="11"/>
    <x v="21"/>
    <s v="Chennai Super Kings"/>
    <s v="Kings XI Punjab"/>
    <x v="5"/>
    <x v="0"/>
    <s v="normal"/>
    <x v="5"/>
    <n v="0"/>
    <n v="6"/>
    <s v="VA Kulkarni"/>
    <s v="SK Tarapore"/>
  </r>
  <r>
    <n v="372"/>
    <s v="Delhi"/>
    <x v="4"/>
    <d v="2012-05-17T00:00:00"/>
    <x v="45"/>
    <x v="2"/>
    <s v="Royal Challengers Bangalore"/>
    <s v="Delhi Daredevils"/>
    <x v="7"/>
    <x v="0"/>
    <s v="normal"/>
    <x v="3"/>
    <n v="21"/>
    <n v="0"/>
    <s v="HDPK Dharmasena"/>
    <s v="C Shamshuddin"/>
  </r>
  <r>
    <n v="373"/>
    <s v="Hyderabad"/>
    <x v="4"/>
    <d v="2012-05-18T00:00:00"/>
    <x v="101"/>
    <x v="6"/>
    <s v="Rajasthan Royals"/>
    <s v="Deccan Chargers"/>
    <x v="2"/>
    <x v="1"/>
    <s v="normal"/>
    <x v="6"/>
    <n v="0"/>
    <n v="5"/>
    <s v="S Ravi"/>
    <s v="SJA Taufel"/>
  </r>
  <r>
    <n v="374"/>
    <s v="Dharamsala"/>
    <x v="4"/>
    <d v="2012-05-19T00:00:00"/>
    <x v="136"/>
    <x v="21"/>
    <s v="Kings XI Punjab"/>
    <s v="Delhi Daredevils"/>
    <x v="7"/>
    <x v="0"/>
    <s v="normal"/>
    <x v="2"/>
    <n v="0"/>
    <n v="6"/>
    <s v="BF Bowden"/>
    <s v="VA Kulkarni"/>
  </r>
  <r>
    <n v="375"/>
    <s v="Pune"/>
    <x v="4"/>
    <d v="2012-05-19T00:00:00"/>
    <x v="125"/>
    <x v="25"/>
    <s v="Kolkata Knight Riders"/>
    <s v="Pune Warriors"/>
    <x v="6"/>
    <x v="1"/>
    <s v="normal"/>
    <x v="0"/>
    <n v="34"/>
    <n v="0"/>
    <s v="S Asnani"/>
    <s v="BR Doctrove"/>
  </r>
  <r>
    <n v="376"/>
    <s v="Hyderabad"/>
    <x v="4"/>
    <d v="2012-05-20T00:00:00"/>
    <x v="101"/>
    <x v="6"/>
    <s v="Deccan Chargers"/>
    <s v="Royal Challengers Bangalore"/>
    <x v="0"/>
    <x v="0"/>
    <s v="normal"/>
    <x v="6"/>
    <n v="9"/>
    <n v="0"/>
    <s v="S Ravi"/>
    <s v="SJA Taufel"/>
  </r>
  <r>
    <n v="377"/>
    <s v="Jaipur"/>
    <x v="4"/>
    <d v="2012-05-20T00:00:00"/>
    <x v="60"/>
    <x v="5"/>
    <s v="Rajasthan Royals"/>
    <s v="Mumbai Indians"/>
    <x v="2"/>
    <x v="1"/>
    <s v="normal"/>
    <x v="7"/>
    <n v="0"/>
    <n v="10"/>
    <s v="HDPK Dharmasena"/>
    <s v="C Shamshuddin"/>
  </r>
  <r>
    <n v="378"/>
    <s v="Pune"/>
    <x v="4"/>
    <d v="2012-05-22T00:00:00"/>
    <x v="8"/>
    <x v="25"/>
    <s v="Kolkata Knight Riders"/>
    <s v="Delhi Daredevils"/>
    <x v="6"/>
    <x v="1"/>
    <s v="normal"/>
    <x v="0"/>
    <n v="18"/>
    <n v="0"/>
    <s v="BR Doctrove"/>
    <s v="SJA Taufel"/>
  </r>
  <r>
    <n v="379"/>
    <s v="Bangalore"/>
    <x v="4"/>
    <d v="2012-05-23T00:00:00"/>
    <x v="13"/>
    <x v="0"/>
    <s v="Chennai Super Kings"/>
    <s v="Mumbai Indians"/>
    <x v="3"/>
    <x v="0"/>
    <s v="normal"/>
    <x v="1"/>
    <n v="38"/>
    <n v="0"/>
    <s v="BF Bowden"/>
    <s v="HDPK Dharmasena"/>
  </r>
  <r>
    <n v="380"/>
    <s v="Chennai"/>
    <x v="4"/>
    <d v="2012-05-25T00:00:00"/>
    <x v="81"/>
    <x v="7"/>
    <s v="Chennai Super Kings"/>
    <s v="Delhi Daredevils"/>
    <x v="7"/>
    <x v="0"/>
    <s v="normal"/>
    <x v="1"/>
    <n v="86"/>
    <n v="0"/>
    <s v="BR Doctrove"/>
    <s v="SJA Taufel"/>
  </r>
  <r>
    <n v="381"/>
    <s v="Chennai"/>
    <x v="4"/>
    <d v="2012-05-27T00:00:00"/>
    <x v="137"/>
    <x v="7"/>
    <s v="Chennai Super Kings"/>
    <s v="Kolkata Knight Riders"/>
    <x v="1"/>
    <x v="1"/>
    <s v="normal"/>
    <x v="0"/>
    <n v="0"/>
    <n v="5"/>
    <s v="BF Bowden"/>
    <s v="SJA Taufel"/>
  </r>
  <r>
    <n v="382"/>
    <s v="Kolkata"/>
    <x v="5"/>
    <d v="2013-04-03T00:00:00"/>
    <x v="127"/>
    <x v="4"/>
    <s v="Delhi Daredevils"/>
    <s v="Kolkata Knight Riders"/>
    <x v="6"/>
    <x v="0"/>
    <s v="normal"/>
    <x v="0"/>
    <n v="0"/>
    <n v="6"/>
    <s v="S Ravi"/>
    <s v="SJA Taufel"/>
  </r>
  <r>
    <n v="383"/>
    <s v="Bangalore"/>
    <x v="5"/>
    <d v="2013-04-04T00:00:00"/>
    <x v="45"/>
    <x v="0"/>
    <s v="Royal Challengers Bangalore"/>
    <s v="Mumbai Indians"/>
    <x v="3"/>
    <x v="0"/>
    <s v="normal"/>
    <x v="3"/>
    <n v="2"/>
    <n v="0"/>
    <s v="VA Kulkarni"/>
    <s v="C Shamshuddin"/>
  </r>
  <r>
    <n v="384"/>
    <s v="Hyderabad"/>
    <x v="5"/>
    <d v="2013-04-05T00:00:00"/>
    <x v="28"/>
    <x v="6"/>
    <s v="Sunrisers Hyderabad"/>
    <s v="Pune Warriors"/>
    <x v="9"/>
    <x v="0"/>
    <s v="normal"/>
    <x v="11"/>
    <n v="22"/>
    <n v="0"/>
    <s v="S Ravi"/>
    <s v="SJA Taufel"/>
  </r>
  <r>
    <n v="385"/>
    <s v="Delhi"/>
    <x v="5"/>
    <d v="2013-04-06T00:00:00"/>
    <x v="41"/>
    <x v="2"/>
    <s v="Rajasthan Royals"/>
    <s v="Delhi Daredevils"/>
    <x v="2"/>
    <x v="1"/>
    <s v="normal"/>
    <x v="4"/>
    <n v="5"/>
    <n v="0"/>
    <s v="S Das"/>
    <s v="C Shamshuddin"/>
  </r>
  <r>
    <n v="386"/>
    <s v="Chennai"/>
    <x v="5"/>
    <d v="2013-04-06T00:00:00"/>
    <x v="90"/>
    <x v="7"/>
    <s v="Mumbai Indians"/>
    <s v="Chennai Super Kings"/>
    <x v="3"/>
    <x v="1"/>
    <s v="normal"/>
    <x v="7"/>
    <n v="9"/>
    <n v="0"/>
    <s v="M Erasmus"/>
    <s v="VA Kulkarni"/>
  </r>
  <r>
    <n v="387"/>
    <s v="Pune"/>
    <x v="5"/>
    <d v="2013-04-07T00:00:00"/>
    <x v="138"/>
    <x v="25"/>
    <s v="Pune Warriors"/>
    <s v="Kings XI Punjab"/>
    <x v="9"/>
    <x v="1"/>
    <s v="normal"/>
    <x v="5"/>
    <n v="0"/>
    <n v="8"/>
    <s v="S Asnani"/>
    <s v="SJA Taufel"/>
  </r>
  <r>
    <n v="388"/>
    <s v="Hyderabad"/>
    <x v="5"/>
    <d v="2013-04-07T00:00:00"/>
    <x v="139"/>
    <x v="6"/>
    <s v="Royal Challengers Bangalore"/>
    <s v="Sunrisers Hyderabad"/>
    <x v="0"/>
    <x v="1"/>
    <s v="tie"/>
    <x v="11"/>
    <n v="0"/>
    <n v="0"/>
    <s v="AK Chaudhary"/>
    <s v="S Ravi"/>
  </r>
  <r>
    <n v="389"/>
    <s v="Jaipur"/>
    <x v="5"/>
    <d v="2013-04-08T00:00:00"/>
    <x v="97"/>
    <x v="5"/>
    <s v="Rajasthan Royals"/>
    <s v="Kolkata Knight Riders"/>
    <x v="6"/>
    <x v="0"/>
    <s v="normal"/>
    <x v="4"/>
    <n v="19"/>
    <n v="0"/>
    <s v="Aleem Dar"/>
    <s v="S Das"/>
  </r>
  <r>
    <n v="390"/>
    <s v="Mumbai"/>
    <x v="5"/>
    <d v="2013-04-09T00:00:00"/>
    <x v="35"/>
    <x v="3"/>
    <s v="Mumbai Indians"/>
    <s v="Delhi Daredevils"/>
    <x v="3"/>
    <x v="1"/>
    <s v="normal"/>
    <x v="7"/>
    <n v="44"/>
    <n v="0"/>
    <s v="M Erasmus"/>
    <s v="VA Kulkarni"/>
  </r>
  <r>
    <n v="391"/>
    <s v="Chandigarh"/>
    <x v="5"/>
    <d v="2013-04-10T00:00:00"/>
    <x v="1"/>
    <x v="1"/>
    <s v="Kings XI Punjab"/>
    <s v="Chennai Super Kings"/>
    <x v="1"/>
    <x v="0"/>
    <s v="normal"/>
    <x v="1"/>
    <n v="0"/>
    <n v="10"/>
    <s v="Aleem Dar"/>
    <s v="C Shamshuddin"/>
  </r>
  <r>
    <n v="392"/>
    <s v="Bangalore"/>
    <x v="5"/>
    <d v="2013-04-11T00:00:00"/>
    <x v="45"/>
    <x v="0"/>
    <s v="Kolkata Knight Riders"/>
    <s v="Royal Challengers Bangalore"/>
    <x v="0"/>
    <x v="0"/>
    <s v="normal"/>
    <x v="3"/>
    <n v="0"/>
    <n v="8"/>
    <s v="Asad Rauf"/>
    <s v="AK Chaudhary"/>
  </r>
  <r>
    <n v="393"/>
    <s v="Pune"/>
    <x v="5"/>
    <d v="2013-04-11T00:00:00"/>
    <x v="140"/>
    <x v="25"/>
    <s v="Rajasthan Royals"/>
    <s v="Pune Warriors"/>
    <x v="2"/>
    <x v="1"/>
    <s v="normal"/>
    <x v="8"/>
    <n v="0"/>
    <n v="7"/>
    <s v="M Erasmus"/>
    <s v="K Srinath"/>
  </r>
  <r>
    <n v="394"/>
    <s v="Delhi"/>
    <x v="5"/>
    <d v="2013-04-12T00:00:00"/>
    <x v="28"/>
    <x v="2"/>
    <s v="Delhi Daredevils"/>
    <s v="Sunrisers Hyderabad"/>
    <x v="7"/>
    <x v="1"/>
    <s v="normal"/>
    <x v="11"/>
    <n v="0"/>
    <n v="3"/>
    <s v="Aleem Dar"/>
    <s v="Subroto Das"/>
  </r>
  <r>
    <n v="395"/>
    <s v="Mumbai"/>
    <x v="5"/>
    <d v="2013-04-13T00:00:00"/>
    <x v="57"/>
    <x v="3"/>
    <s v="Mumbai Indians"/>
    <s v="Pune Warriors"/>
    <x v="3"/>
    <x v="1"/>
    <s v="normal"/>
    <x v="7"/>
    <n v="41"/>
    <n v="0"/>
    <s v="S Ravi"/>
    <s v="SJA Taufel"/>
  </r>
  <r>
    <n v="396"/>
    <s v="Chennai"/>
    <x v="5"/>
    <d v="2013-04-13T00:00:00"/>
    <x v="120"/>
    <x v="7"/>
    <s v="Royal Challengers Bangalore"/>
    <s v="Chennai Super Kings"/>
    <x v="1"/>
    <x v="0"/>
    <s v="normal"/>
    <x v="1"/>
    <n v="0"/>
    <n v="4"/>
    <s v="Asad Rauf"/>
    <s v="AK Chaudhary"/>
  </r>
  <r>
    <n v="397"/>
    <s v="Kolkata"/>
    <x v="5"/>
    <d v="2013-04-14T00:00:00"/>
    <x v="56"/>
    <x v="4"/>
    <s v="Kolkata Knight Riders"/>
    <s v="Sunrisers Hyderabad"/>
    <x v="6"/>
    <x v="1"/>
    <s v="normal"/>
    <x v="0"/>
    <n v="48"/>
    <n v="0"/>
    <s v="M Erasmus"/>
    <s v="VA Kulkarni"/>
  </r>
  <r>
    <n v="398"/>
    <s v="Jaipur"/>
    <x v="5"/>
    <d v="2013-04-14T00:00:00"/>
    <x v="141"/>
    <x v="5"/>
    <s v="Kings XI Punjab"/>
    <s v="Rajasthan Royals"/>
    <x v="2"/>
    <x v="0"/>
    <s v="normal"/>
    <x v="4"/>
    <n v="0"/>
    <n v="6"/>
    <s v="Aleem Dar"/>
    <s v="C Shamshuddin"/>
  </r>
  <r>
    <n v="399"/>
    <s v="Chennai"/>
    <x v="5"/>
    <d v="2013-04-15T00:00:00"/>
    <x v="118"/>
    <x v="7"/>
    <s v="Pune Warriors"/>
    <s v="Chennai Super Kings"/>
    <x v="9"/>
    <x v="1"/>
    <s v="normal"/>
    <x v="8"/>
    <n v="24"/>
    <n v="0"/>
    <s v="Asad Rauf"/>
    <s v="AK Chaudhary"/>
  </r>
  <r>
    <n v="400"/>
    <s v="Chandigarh"/>
    <x v="5"/>
    <d v="2013-04-16T00:00:00"/>
    <x v="142"/>
    <x v="1"/>
    <s v="Kings XI Punjab"/>
    <s v="Kolkata Knight Riders"/>
    <x v="6"/>
    <x v="0"/>
    <s v="normal"/>
    <x v="5"/>
    <n v="4"/>
    <n v="0"/>
    <s v="CK Nandan"/>
    <s v="SJA Taufel"/>
  </r>
  <r>
    <n v="401"/>
    <s v="Bangalore"/>
    <x v="5"/>
    <d v="2013-04-16T00:00:00"/>
    <x v="104"/>
    <x v="0"/>
    <s v="Delhi Daredevils"/>
    <s v="Royal Challengers Bangalore"/>
    <x v="0"/>
    <x v="0"/>
    <s v="tie"/>
    <x v="3"/>
    <n v="0"/>
    <n v="0"/>
    <s v="M Erasmus"/>
    <s v="VA Kulkarni"/>
  </r>
  <r>
    <n v="402"/>
    <s v="Pune"/>
    <x v="5"/>
    <d v="2013-04-17T00:00:00"/>
    <x v="28"/>
    <x v="25"/>
    <s v="Sunrisers Hyderabad"/>
    <s v="Pune Warriors"/>
    <x v="9"/>
    <x v="0"/>
    <s v="normal"/>
    <x v="11"/>
    <n v="11"/>
    <n v="0"/>
    <s v="Asad Rauf"/>
    <s v="AK Chaudhary"/>
  </r>
  <r>
    <n v="403"/>
    <s v="Jaipur"/>
    <x v="5"/>
    <d v="2013-04-17T00:00:00"/>
    <x v="119"/>
    <x v="5"/>
    <s v="Rajasthan Royals"/>
    <s v="Mumbai Indians"/>
    <x v="2"/>
    <x v="1"/>
    <s v="normal"/>
    <x v="4"/>
    <n v="87"/>
    <n v="0"/>
    <s v="Aleem Dar"/>
    <s v="C Shamshuddin"/>
  </r>
  <r>
    <n v="404"/>
    <s v="Delhi"/>
    <x v="5"/>
    <d v="2013-04-18T00:00:00"/>
    <x v="1"/>
    <x v="2"/>
    <s v="Chennai Super Kings"/>
    <s v="Delhi Daredevils"/>
    <x v="1"/>
    <x v="1"/>
    <s v="normal"/>
    <x v="1"/>
    <n v="86"/>
    <n v="0"/>
    <s v="M Erasmus"/>
    <s v="VA Kulkarni"/>
  </r>
  <r>
    <n v="405"/>
    <s v="Hyderabad"/>
    <x v="5"/>
    <d v="2013-04-19T00:00:00"/>
    <x v="139"/>
    <x v="6"/>
    <s v="Kings XI Punjab"/>
    <s v="Sunrisers Hyderabad"/>
    <x v="5"/>
    <x v="1"/>
    <s v="normal"/>
    <x v="11"/>
    <n v="0"/>
    <n v="5"/>
    <s v="HDPK Dharmasena"/>
    <s v="CK Nandan"/>
  </r>
  <r>
    <n v="406"/>
    <s v="Kolkata"/>
    <x v="5"/>
    <d v="2013-04-20T00:00:00"/>
    <x v="120"/>
    <x v="4"/>
    <s v="Kolkata Knight Riders"/>
    <s v="Chennai Super Kings"/>
    <x v="6"/>
    <x v="1"/>
    <s v="normal"/>
    <x v="1"/>
    <n v="0"/>
    <n v="4"/>
    <s v="Asad Rauf"/>
    <s v="AK Chaudhary"/>
  </r>
  <r>
    <n v="407"/>
    <s v="Bangalore"/>
    <x v="5"/>
    <d v="2013-04-20T00:00:00"/>
    <x v="18"/>
    <x v="0"/>
    <s v="Rajasthan Royals"/>
    <s v="Royal Challengers Bangalore"/>
    <x v="0"/>
    <x v="0"/>
    <s v="normal"/>
    <x v="3"/>
    <n v="0"/>
    <n v="7"/>
    <s v="Aleem Dar"/>
    <s v="C Shamshuddin"/>
  </r>
  <r>
    <n v="408"/>
    <s v="Delhi"/>
    <x v="5"/>
    <d v="2013-04-21T00:00:00"/>
    <x v="6"/>
    <x v="2"/>
    <s v="Mumbai Indians"/>
    <s v="Delhi Daredevils"/>
    <x v="3"/>
    <x v="1"/>
    <s v="normal"/>
    <x v="2"/>
    <n v="0"/>
    <n v="9"/>
    <s v="HDPK Dharmasena"/>
    <s v="S Ravi"/>
  </r>
  <r>
    <n v="409"/>
    <s v="Chandigarh"/>
    <x v="5"/>
    <d v="2013-04-21T00:00:00"/>
    <x v="143"/>
    <x v="1"/>
    <s v="Pune Warriors"/>
    <s v="Kings XI Punjab"/>
    <x v="5"/>
    <x v="0"/>
    <s v="normal"/>
    <x v="5"/>
    <n v="0"/>
    <n v="7"/>
    <s v="M Erasmus"/>
    <s v="K Srinath"/>
  </r>
  <r>
    <n v="410"/>
    <s v="Chennai"/>
    <x v="5"/>
    <d v="2013-04-22T00:00:00"/>
    <x v="1"/>
    <x v="7"/>
    <s v="Rajasthan Royals"/>
    <s v="Chennai Super Kings"/>
    <x v="2"/>
    <x v="1"/>
    <s v="normal"/>
    <x v="1"/>
    <n v="0"/>
    <n v="5"/>
    <s v="S Asnani"/>
    <s v="AK Chaudhary"/>
  </r>
  <r>
    <n v="411"/>
    <s v="Bangalore"/>
    <x v="5"/>
    <d v="2013-04-23T00:00:00"/>
    <x v="45"/>
    <x v="0"/>
    <s v="Royal Challengers Bangalore"/>
    <s v="Pune Warriors"/>
    <x v="9"/>
    <x v="0"/>
    <s v="normal"/>
    <x v="3"/>
    <n v="130"/>
    <n v="0"/>
    <s v="Aleem Dar"/>
    <s v="C Shamshuddin"/>
  </r>
  <r>
    <n v="412"/>
    <s v="Dharamsala"/>
    <x v="5"/>
    <d v="2013-05-16T00:00:00"/>
    <x v="143"/>
    <x v="21"/>
    <s v="Kings XI Punjab"/>
    <s v="Delhi Daredevils"/>
    <x v="7"/>
    <x v="0"/>
    <s v="normal"/>
    <x v="5"/>
    <n v="7"/>
    <n v="0"/>
    <s v="HDPK Dharmasena"/>
    <s v="S Ravi"/>
  </r>
  <r>
    <n v="413"/>
    <s v="Kolkata"/>
    <x v="5"/>
    <d v="2013-04-24T00:00:00"/>
    <x v="60"/>
    <x v="4"/>
    <s v="Kolkata Knight Riders"/>
    <s v="Mumbai Indians"/>
    <x v="6"/>
    <x v="1"/>
    <s v="normal"/>
    <x v="7"/>
    <n v="0"/>
    <n v="5"/>
    <s v="HDPK Dharmasena"/>
    <s v="S Ravi"/>
  </r>
  <r>
    <n v="414"/>
    <s v="Chennai"/>
    <x v="5"/>
    <d v="2013-04-25T00:00:00"/>
    <x v="13"/>
    <x v="7"/>
    <s v="Sunrisers Hyderabad"/>
    <s v="Chennai Super Kings"/>
    <x v="10"/>
    <x v="1"/>
    <s v="normal"/>
    <x v="1"/>
    <n v="0"/>
    <n v="5"/>
    <s v="Aleem Dar"/>
    <s v="S Das"/>
  </r>
  <r>
    <n v="415"/>
    <s v="Kolkata"/>
    <x v="5"/>
    <d v="2013-04-26T00:00:00"/>
    <x v="55"/>
    <x v="4"/>
    <s v="Kings XI Punjab"/>
    <s v="Kolkata Knight Riders"/>
    <x v="5"/>
    <x v="1"/>
    <s v="normal"/>
    <x v="0"/>
    <n v="0"/>
    <n v="6"/>
    <s v="CK Nandan"/>
    <s v="S Ravi"/>
  </r>
  <r>
    <n v="416"/>
    <s v="Jaipur"/>
    <x v="5"/>
    <d v="2013-04-27T00:00:00"/>
    <x v="141"/>
    <x v="5"/>
    <s v="Sunrisers Hyderabad"/>
    <s v="Rajasthan Royals"/>
    <x v="10"/>
    <x v="1"/>
    <s v="normal"/>
    <x v="4"/>
    <n v="0"/>
    <n v="8"/>
    <s v="VA Kulkarni"/>
    <s v="K Srinath"/>
  </r>
  <r>
    <n v="417"/>
    <s v="Mumbai"/>
    <x v="5"/>
    <d v="2013-04-27T00:00:00"/>
    <x v="60"/>
    <x v="3"/>
    <s v="Mumbai Indians"/>
    <s v="Royal Challengers Bangalore"/>
    <x v="3"/>
    <x v="1"/>
    <s v="normal"/>
    <x v="7"/>
    <n v="58"/>
    <n v="0"/>
    <s v="Asad Rauf"/>
    <s v="S Asnani"/>
  </r>
  <r>
    <n v="418"/>
    <s v="Chennai"/>
    <x v="5"/>
    <d v="2013-04-28T00:00:00"/>
    <x v="1"/>
    <x v="7"/>
    <s v="Chennai Super Kings"/>
    <s v="Kolkata Knight Riders"/>
    <x v="6"/>
    <x v="0"/>
    <s v="normal"/>
    <x v="1"/>
    <n v="14"/>
    <n v="0"/>
    <s v="Aleem Dar"/>
    <s v="SJA Taufel"/>
  </r>
  <r>
    <n v="419"/>
    <s v="Raipur"/>
    <x v="5"/>
    <d v="2013-04-28T00:00:00"/>
    <x v="79"/>
    <x v="26"/>
    <s v="Delhi Daredevils"/>
    <s v="Pune Warriors"/>
    <x v="9"/>
    <x v="0"/>
    <s v="normal"/>
    <x v="2"/>
    <n v="15"/>
    <n v="0"/>
    <s v="CK Nandan"/>
    <s v="S Ravi"/>
  </r>
  <r>
    <n v="420"/>
    <s v="Jaipur"/>
    <x v="5"/>
    <d v="2013-04-29T00:00:00"/>
    <x v="144"/>
    <x v="5"/>
    <s v="Royal Challengers Bangalore"/>
    <s v="Rajasthan Royals"/>
    <x v="2"/>
    <x v="0"/>
    <s v="normal"/>
    <x v="4"/>
    <n v="0"/>
    <n v="4"/>
    <s v="M Erasmus"/>
    <s v="K Srinath"/>
  </r>
  <r>
    <n v="421"/>
    <s v="Mumbai"/>
    <x v="5"/>
    <d v="2013-04-29T00:00:00"/>
    <x v="57"/>
    <x v="3"/>
    <s v="Mumbai Indians"/>
    <s v="Kings XI Punjab"/>
    <x v="3"/>
    <x v="1"/>
    <s v="normal"/>
    <x v="7"/>
    <n v="4"/>
    <n v="0"/>
    <s v="Asad Rauf"/>
    <s v="AK Chaudhary"/>
  </r>
  <r>
    <n v="422"/>
    <s v="Pune"/>
    <x v="5"/>
    <d v="2013-04-30T00:00:00"/>
    <x v="13"/>
    <x v="25"/>
    <s v="Chennai Super Kings"/>
    <s v="Pune Warriors"/>
    <x v="1"/>
    <x v="1"/>
    <s v="normal"/>
    <x v="1"/>
    <n v="37"/>
    <n v="0"/>
    <s v="S Das"/>
    <s v="SJA Taufel"/>
  </r>
  <r>
    <n v="423"/>
    <s v="Hyderabad"/>
    <x v="5"/>
    <d v="2013-05-01T00:00:00"/>
    <x v="105"/>
    <x v="6"/>
    <s v="Mumbai Indians"/>
    <s v="Sunrisers Hyderabad"/>
    <x v="3"/>
    <x v="1"/>
    <s v="normal"/>
    <x v="11"/>
    <n v="0"/>
    <n v="7"/>
    <s v="Asad Rauf"/>
    <s v="S Asnani"/>
  </r>
  <r>
    <n v="424"/>
    <s v="Raipur"/>
    <x v="5"/>
    <d v="2013-05-01T00:00:00"/>
    <x v="79"/>
    <x v="26"/>
    <s v="Kolkata Knight Riders"/>
    <s v="Delhi Daredevils"/>
    <x v="6"/>
    <x v="1"/>
    <s v="normal"/>
    <x v="2"/>
    <n v="0"/>
    <n v="7"/>
    <s v="HDPK Dharmasena"/>
    <s v="CK Nandan"/>
  </r>
  <r>
    <n v="425"/>
    <s v="Chennai"/>
    <x v="5"/>
    <d v="2013-05-02T00:00:00"/>
    <x v="39"/>
    <x v="7"/>
    <s v="Chennai Super Kings"/>
    <s v="Kings XI Punjab"/>
    <x v="1"/>
    <x v="1"/>
    <s v="normal"/>
    <x v="1"/>
    <n v="15"/>
    <n v="0"/>
    <s v="M Erasmus"/>
    <s v="VA Kulkarni"/>
  </r>
  <r>
    <n v="426"/>
    <s v="Pune"/>
    <x v="5"/>
    <d v="2013-05-02T00:00:00"/>
    <x v="46"/>
    <x v="25"/>
    <s v="Royal Challengers Bangalore"/>
    <s v="Pune Warriors"/>
    <x v="0"/>
    <x v="1"/>
    <s v="normal"/>
    <x v="3"/>
    <n v="17"/>
    <n v="0"/>
    <s v="Aleem Dar"/>
    <s v="C Shamshuddin"/>
  </r>
  <r>
    <n v="427"/>
    <s v="Kolkata"/>
    <x v="5"/>
    <d v="2013-05-03T00:00:00"/>
    <x v="8"/>
    <x v="4"/>
    <s v="Rajasthan Royals"/>
    <s v="Kolkata Knight Riders"/>
    <x v="2"/>
    <x v="1"/>
    <s v="normal"/>
    <x v="0"/>
    <n v="0"/>
    <n v="8"/>
    <s v="HDPK Dharmasena"/>
    <s v="CK Nandan"/>
  </r>
  <r>
    <n v="428"/>
    <s v="Hyderabad"/>
    <x v="5"/>
    <d v="2013-05-04T00:00:00"/>
    <x v="145"/>
    <x v="6"/>
    <s v="Delhi Daredevils"/>
    <s v="Sunrisers Hyderabad"/>
    <x v="7"/>
    <x v="1"/>
    <s v="normal"/>
    <x v="11"/>
    <n v="0"/>
    <n v="6"/>
    <s v="Asad Rauf"/>
    <s v="S Asnani"/>
  </r>
  <r>
    <n v="429"/>
    <s v="Bangalore"/>
    <x v="5"/>
    <d v="2013-05-14T00:00:00"/>
    <x v="11"/>
    <x v="0"/>
    <s v="Royal Challengers Bangalore"/>
    <s v="Kings XI Punjab"/>
    <x v="5"/>
    <x v="0"/>
    <s v="normal"/>
    <x v="5"/>
    <n v="0"/>
    <n v="7"/>
    <s v="HDPK Dharmasena"/>
    <s v="S Ravi"/>
  </r>
  <r>
    <n v="430"/>
    <s v="Mumbai"/>
    <x v="5"/>
    <d v="2013-05-05T00:00:00"/>
    <x v="146"/>
    <x v="3"/>
    <s v="Mumbai Indians"/>
    <s v="Chennai Super Kings"/>
    <x v="3"/>
    <x v="1"/>
    <s v="normal"/>
    <x v="7"/>
    <n v="60"/>
    <n v="0"/>
    <s v="HDPK Dharmasena"/>
    <s v="CK Nandan"/>
  </r>
  <r>
    <n v="431"/>
    <s v="Jaipur"/>
    <x v="5"/>
    <d v="2013-05-05T00:00:00"/>
    <x v="119"/>
    <x v="5"/>
    <s v="Pune Warriors"/>
    <s v="Rajasthan Royals"/>
    <x v="9"/>
    <x v="1"/>
    <s v="normal"/>
    <x v="4"/>
    <n v="0"/>
    <n v="5"/>
    <s v="C Shamshuddin"/>
    <s v="RJ Tucker"/>
  </r>
  <r>
    <n v="432"/>
    <s v="Bangalore"/>
    <x v="5"/>
    <d v="2013-04-09T00:00:00"/>
    <x v="104"/>
    <x v="0"/>
    <s v="Sunrisers Hyderabad"/>
    <s v="Royal Challengers Bangalore"/>
    <x v="10"/>
    <x v="1"/>
    <s v="normal"/>
    <x v="3"/>
    <n v="0"/>
    <n v="7"/>
    <s v="S Ravi"/>
    <s v="SJA Taufel"/>
  </r>
  <r>
    <n v="433"/>
    <s v="Jaipur"/>
    <x v="5"/>
    <d v="2013-05-07T00:00:00"/>
    <x v="119"/>
    <x v="5"/>
    <s v="Delhi Daredevils"/>
    <s v="Rajasthan Royals"/>
    <x v="7"/>
    <x v="1"/>
    <s v="normal"/>
    <x v="4"/>
    <n v="0"/>
    <n v="9"/>
    <s v="Aleem Dar"/>
    <s v="RJ Tucker"/>
  </r>
  <r>
    <n v="434"/>
    <s v="Mumbai"/>
    <x v="5"/>
    <d v="2013-05-07T00:00:00"/>
    <x v="40"/>
    <x v="3"/>
    <s v="Mumbai Indians"/>
    <s v="Kolkata Knight Riders"/>
    <x v="3"/>
    <x v="1"/>
    <s v="normal"/>
    <x v="7"/>
    <n v="65"/>
    <n v="0"/>
    <s v="HDPK Dharmasena"/>
    <s v="S Ravi"/>
  </r>
  <r>
    <n v="435"/>
    <s v="Hyderabad"/>
    <x v="5"/>
    <d v="2013-05-08T00:00:00"/>
    <x v="39"/>
    <x v="6"/>
    <s v="Chennai Super Kings"/>
    <s v="Sunrisers Hyderabad"/>
    <x v="10"/>
    <x v="0"/>
    <s v="normal"/>
    <x v="1"/>
    <n v="77"/>
    <n v="0"/>
    <s v="S Das"/>
    <s v="NJ Llong"/>
  </r>
  <r>
    <n v="436"/>
    <s v="Chandigarh"/>
    <x v="5"/>
    <d v="2013-05-09T00:00:00"/>
    <x v="147"/>
    <x v="1"/>
    <s v="Kings XI Punjab"/>
    <s v="Rajasthan Royals"/>
    <x v="2"/>
    <x v="0"/>
    <s v="normal"/>
    <x v="4"/>
    <n v="0"/>
    <n v="8"/>
    <s v="HDPK Dharmasena"/>
    <s v="S Ravi"/>
  </r>
  <r>
    <n v="437"/>
    <s v="Pune"/>
    <x v="5"/>
    <d v="2013-05-09T00:00:00"/>
    <x v="56"/>
    <x v="25"/>
    <s v="Kolkata Knight Riders"/>
    <s v="Pune Warriors"/>
    <x v="6"/>
    <x v="1"/>
    <s v="normal"/>
    <x v="0"/>
    <n v="46"/>
    <n v="0"/>
    <s v="Asad Rauf"/>
    <s v="S Asnani"/>
  </r>
  <r>
    <n v="438"/>
    <s v="Delhi"/>
    <x v="5"/>
    <d v="2013-05-10T00:00:00"/>
    <x v="93"/>
    <x v="2"/>
    <s v="Royal Challengers Bangalore"/>
    <s v="Delhi Daredevils"/>
    <x v="7"/>
    <x v="0"/>
    <s v="normal"/>
    <x v="3"/>
    <n v="4"/>
    <n v="0"/>
    <s v="NJ Llong"/>
    <s v="K Srinath"/>
  </r>
  <r>
    <n v="439"/>
    <s v="Pune"/>
    <x v="5"/>
    <d v="2013-05-11T00:00:00"/>
    <x v="146"/>
    <x v="25"/>
    <s v="Pune Warriors"/>
    <s v="Mumbai Indians"/>
    <x v="9"/>
    <x v="1"/>
    <s v="normal"/>
    <x v="7"/>
    <n v="0"/>
    <n v="5"/>
    <s v="Asad Rauf"/>
    <s v="AK Chaudhary"/>
  </r>
  <r>
    <n v="440"/>
    <s v="Chandigarh"/>
    <x v="5"/>
    <d v="2013-05-11T00:00:00"/>
    <x v="148"/>
    <x v="1"/>
    <s v="Sunrisers Hyderabad"/>
    <s v="Kings XI Punjab"/>
    <x v="5"/>
    <x v="0"/>
    <s v="normal"/>
    <x v="11"/>
    <n v="30"/>
    <n v="0"/>
    <s v="S Das"/>
    <s v="RJ Tucker"/>
  </r>
  <r>
    <n v="441"/>
    <s v="Ranchi"/>
    <x v="5"/>
    <d v="2013-05-12T00:00:00"/>
    <x v="55"/>
    <x v="27"/>
    <s v="Royal Challengers Bangalore"/>
    <s v="Kolkata Knight Riders"/>
    <x v="6"/>
    <x v="0"/>
    <s v="normal"/>
    <x v="0"/>
    <n v="0"/>
    <n v="5"/>
    <s v="NJ Llong"/>
    <s v="K Srinath"/>
  </r>
  <r>
    <n v="442"/>
    <s v="Jaipur"/>
    <x v="5"/>
    <d v="2013-05-12T00:00:00"/>
    <x v="5"/>
    <x v="5"/>
    <s v="Chennai Super Kings"/>
    <s v="Rajasthan Royals"/>
    <x v="2"/>
    <x v="0"/>
    <s v="normal"/>
    <x v="4"/>
    <n v="0"/>
    <n v="5"/>
    <s v="HDPK Dharmasena"/>
    <s v="CK Nandan"/>
  </r>
  <r>
    <n v="443"/>
    <s v="Delhi"/>
    <x v="5"/>
    <d v="2013-04-23T00:00:00"/>
    <x v="89"/>
    <x v="2"/>
    <s v="Delhi Daredevils"/>
    <s v="Kings XI Punjab"/>
    <x v="5"/>
    <x v="0"/>
    <s v="normal"/>
    <x v="5"/>
    <n v="0"/>
    <n v="5"/>
    <s v="VA Kulkarni"/>
    <s v="K Srinath"/>
  </r>
  <r>
    <n v="444"/>
    <s v="Mumbai"/>
    <x v="5"/>
    <d v="2013-05-13T00:00:00"/>
    <x v="90"/>
    <x v="3"/>
    <s v="Sunrisers Hyderabad"/>
    <s v="Mumbai Indians"/>
    <x v="10"/>
    <x v="1"/>
    <s v="normal"/>
    <x v="7"/>
    <n v="0"/>
    <n v="7"/>
    <s v="AK Chaudhary"/>
    <s v="SJA Taufel"/>
  </r>
  <r>
    <n v="445"/>
    <s v="Ranchi"/>
    <x v="5"/>
    <d v="2013-05-15T00:00:00"/>
    <x v="68"/>
    <x v="27"/>
    <s v="Pune Warriors"/>
    <s v="Kolkata Knight Riders"/>
    <x v="6"/>
    <x v="0"/>
    <s v="normal"/>
    <x v="8"/>
    <n v="7"/>
    <n v="0"/>
    <s v="NJ Llong"/>
    <s v="K Srinath"/>
  </r>
  <r>
    <n v="446"/>
    <s v="Chennai"/>
    <x v="5"/>
    <d v="2013-05-14T00:00:00"/>
    <x v="13"/>
    <x v="7"/>
    <s v="Chennai Super Kings"/>
    <s v="Delhi Daredevils"/>
    <x v="1"/>
    <x v="1"/>
    <s v="normal"/>
    <x v="1"/>
    <n v="33"/>
    <n v="0"/>
    <s v="C Shamshuddin"/>
    <s v="RJ Tucker"/>
  </r>
  <r>
    <n v="447"/>
    <s v="Mumbai"/>
    <x v="5"/>
    <d v="2013-05-15T00:00:00"/>
    <x v="149"/>
    <x v="3"/>
    <s v="Mumbai Indians"/>
    <s v="Rajasthan Royals"/>
    <x v="2"/>
    <x v="0"/>
    <s v="normal"/>
    <x v="7"/>
    <n v="14"/>
    <n v="0"/>
    <s v="Asad Rauf"/>
    <s v="S Asnani"/>
  </r>
  <r>
    <n v="448"/>
    <s v="Chandigarh"/>
    <x v="5"/>
    <d v="2013-05-06T00:00:00"/>
    <x v="143"/>
    <x v="1"/>
    <s v="Royal Challengers Bangalore"/>
    <s v="Kings XI Punjab"/>
    <x v="5"/>
    <x v="0"/>
    <s v="normal"/>
    <x v="5"/>
    <n v="0"/>
    <n v="6"/>
    <s v="VA Kulkarni"/>
    <s v="NJ Llong"/>
  </r>
  <r>
    <n v="449"/>
    <s v="Hyderabad"/>
    <x v="5"/>
    <d v="2013-05-17T00:00:00"/>
    <x v="28"/>
    <x v="6"/>
    <s v="Sunrisers Hyderabad"/>
    <s v="Rajasthan Royals"/>
    <x v="10"/>
    <x v="1"/>
    <s v="normal"/>
    <x v="11"/>
    <n v="23"/>
    <n v="0"/>
    <s v="Asad Rauf"/>
    <s v="AK Chaudhary"/>
  </r>
  <r>
    <n v="450"/>
    <s v="Dharamsala"/>
    <x v="5"/>
    <d v="2013-05-18T00:00:00"/>
    <x v="133"/>
    <x v="21"/>
    <s v="Kings XI Punjab"/>
    <s v="Mumbai Indians"/>
    <x v="3"/>
    <x v="0"/>
    <s v="normal"/>
    <x v="5"/>
    <n v="50"/>
    <n v="0"/>
    <s v="HDPK Dharmasena"/>
    <s v="CK Nandan"/>
  </r>
  <r>
    <n v="451"/>
    <s v="Pune"/>
    <x v="5"/>
    <d v="2013-05-19T00:00:00"/>
    <x v="150"/>
    <x v="25"/>
    <s v="Pune Warriors"/>
    <s v="Delhi Daredevils"/>
    <x v="9"/>
    <x v="1"/>
    <s v="normal"/>
    <x v="8"/>
    <n v="38"/>
    <n v="0"/>
    <s v="NJ Llong"/>
    <s v="SJA Taufel"/>
  </r>
  <r>
    <n v="452"/>
    <s v="Bangalore"/>
    <x v="5"/>
    <d v="2013-05-18T00:00:00"/>
    <x v="104"/>
    <x v="0"/>
    <s v="Royal Challengers Bangalore"/>
    <s v="Chennai Super Kings"/>
    <x v="1"/>
    <x v="0"/>
    <s v="normal"/>
    <x v="3"/>
    <n v="24"/>
    <n v="0"/>
    <s v="C Shamshuddin"/>
    <s v="RJ Tucker"/>
  </r>
  <r>
    <n v="453"/>
    <s v="Hyderabad"/>
    <x v="5"/>
    <d v="2013-05-19T00:00:00"/>
    <x v="148"/>
    <x v="6"/>
    <s v="Kolkata Knight Riders"/>
    <s v="Sunrisers Hyderabad"/>
    <x v="6"/>
    <x v="1"/>
    <s v="normal"/>
    <x v="11"/>
    <n v="0"/>
    <n v="5"/>
    <s v="Asad Rauf"/>
    <s v="S Asnani"/>
  </r>
  <r>
    <n v="454"/>
    <s v="Delhi"/>
    <x v="5"/>
    <d v="2013-05-21T00:00:00"/>
    <x v="1"/>
    <x v="2"/>
    <s v="Chennai Super Kings"/>
    <s v="Mumbai Indians"/>
    <x v="1"/>
    <x v="1"/>
    <s v="normal"/>
    <x v="1"/>
    <n v="48"/>
    <n v="0"/>
    <s v="NJ Llong"/>
    <s v="RJ Tucker"/>
  </r>
  <r>
    <n v="455"/>
    <s v="Delhi"/>
    <x v="5"/>
    <d v="2013-05-22T00:00:00"/>
    <x v="66"/>
    <x v="2"/>
    <s v="Sunrisers Hyderabad"/>
    <s v="Rajasthan Royals"/>
    <x v="10"/>
    <x v="1"/>
    <s v="normal"/>
    <x v="4"/>
    <n v="0"/>
    <n v="4"/>
    <s v="S Ravi"/>
    <s v="RJ Tucker"/>
  </r>
  <r>
    <n v="456"/>
    <s v="Kolkata"/>
    <x v="5"/>
    <d v="2013-05-24T00:00:00"/>
    <x v="62"/>
    <x v="4"/>
    <s v="Rajasthan Royals"/>
    <s v="Mumbai Indians"/>
    <x v="2"/>
    <x v="1"/>
    <s v="normal"/>
    <x v="7"/>
    <n v="0"/>
    <n v="4"/>
    <s v="C Shamshuddin"/>
    <s v="SJA Taufel"/>
  </r>
  <r>
    <n v="457"/>
    <s v="Kolkata"/>
    <x v="5"/>
    <d v="2013-05-26T00:00:00"/>
    <x v="90"/>
    <x v="4"/>
    <s v="Mumbai Indians"/>
    <s v="Chennai Super Kings"/>
    <x v="3"/>
    <x v="1"/>
    <s v="normal"/>
    <x v="7"/>
    <n v="23"/>
    <n v="0"/>
    <s v="HDPK Dharmasena"/>
    <s v="SJA Taufel"/>
  </r>
  <r>
    <n v="458"/>
    <s v="Abu Dhabi"/>
    <x v="6"/>
    <d v="2014-04-16T00:00:00"/>
    <x v="55"/>
    <x v="28"/>
    <s v="Kolkata Knight Riders"/>
    <s v="Mumbai Indians"/>
    <x v="6"/>
    <x v="1"/>
    <s v="normal"/>
    <x v="0"/>
    <n v="41"/>
    <n v="0"/>
    <s v="M Erasmus"/>
    <s v="RK Illingworth"/>
  </r>
  <r>
    <n v="459"/>
    <s v="Sharjah"/>
    <x v="6"/>
    <d v="2014-04-17T00:00:00"/>
    <x v="151"/>
    <x v="29"/>
    <s v="Delhi Daredevils"/>
    <s v="Royal Challengers Bangalore"/>
    <x v="0"/>
    <x v="0"/>
    <s v="normal"/>
    <x v="3"/>
    <n v="0"/>
    <n v="8"/>
    <s v="Aleem Dar"/>
    <s v="S Ravi"/>
  </r>
  <r>
    <n v="460"/>
    <s v="Abu Dhabi"/>
    <x v="6"/>
    <d v="2014-04-18T00:00:00"/>
    <x v="152"/>
    <x v="28"/>
    <s v="Chennai Super Kings"/>
    <s v="Kings XI Punjab"/>
    <x v="1"/>
    <x v="1"/>
    <s v="normal"/>
    <x v="5"/>
    <n v="0"/>
    <n v="6"/>
    <s v="RK Illingworth"/>
    <s v="C Shamshuddin"/>
  </r>
  <r>
    <n v="461"/>
    <s v="Abu Dhabi"/>
    <x v="6"/>
    <d v="2014-04-18T00:00:00"/>
    <x v="119"/>
    <x v="28"/>
    <s v="Sunrisers Hyderabad"/>
    <s v="Rajasthan Royals"/>
    <x v="2"/>
    <x v="0"/>
    <s v="normal"/>
    <x v="4"/>
    <n v="0"/>
    <n v="4"/>
    <s v="BF Bowden"/>
    <s v="RK Illingworth"/>
  </r>
  <r>
    <n v="462"/>
    <m/>
    <x v="6"/>
    <d v="2014-04-19T00:00:00"/>
    <x v="148"/>
    <x v="30"/>
    <s v="Mumbai Indians"/>
    <s v="Royal Challengers Bangalore"/>
    <x v="0"/>
    <x v="0"/>
    <s v="normal"/>
    <x v="3"/>
    <n v="0"/>
    <n v="7"/>
    <s v="Aleem Dar"/>
    <s v="AK Chaudhary"/>
  </r>
  <r>
    <n v="463"/>
    <m/>
    <x v="6"/>
    <d v="2014-04-19T00:00:00"/>
    <x v="52"/>
    <x v="30"/>
    <s v="Kolkata Knight Riders"/>
    <s v="Delhi Daredevils"/>
    <x v="6"/>
    <x v="1"/>
    <s v="normal"/>
    <x v="2"/>
    <n v="0"/>
    <n v="4"/>
    <s v="Aleem Dar"/>
    <s v="VA Kulkarni"/>
  </r>
  <r>
    <n v="464"/>
    <s v="Sharjah"/>
    <x v="6"/>
    <d v="2014-04-20T00:00:00"/>
    <x v="152"/>
    <x v="29"/>
    <s v="Rajasthan Royals"/>
    <s v="Kings XI Punjab"/>
    <x v="5"/>
    <x v="0"/>
    <s v="normal"/>
    <x v="5"/>
    <n v="0"/>
    <n v="7"/>
    <s v="BF Bowden"/>
    <s v="M Erasmus"/>
  </r>
  <r>
    <n v="465"/>
    <s v="Abu Dhabi"/>
    <x v="6"/>
    <d v="2014-04-21T00:00:00"/>
    <x v="39"/>
    <x v="28"/>
    <s v="Chennai Super Kings"/>
    <s v="Delhi Daredevils"/>
    <x v="1"/>
    <x v="1"/>
    <s v="normal"/>
    <x v="1"/>
    <n v="93"/>
    <n v="0"/>
    <s v="RK Illingworth"/>
    <s v="C Shamshuddin"/>
  </r>
  <r>
    <n v="466"/>
    <s v="Sharjah"/>
    <x v="6"/>
    <d v="2014-04-22T00:00:00"/>
    <x v="152"/>
    <x v="29"/>
    <s v="Kings XI Punjab"/>
    <s v="Sunrisers Hyderabad"/>
    <x v="10"/>
    <x v="0"/>
    <s v="normal"/>
    <x v="5"/>
    <n v="72"/>
    <n v="0"/>
    <s v="M Erasmus"/>
    <s v="S Ravi"/>
  </r>
  <r>
    <n v="467"/>
    <m/>
    <x v="6"/>
    <d v="2014-04-23T00:00:00"/>
    <x v="120"/>
    <x v="30"/>
    <s v="Chennai Super Kings"/>
    <s v="Rajasthan Royals"/>
    <x v="2"/>
    <x v="0"/>
    <s v="normal"/>
    <x v="1"/>
    <n v="7"/>
    <n v="0"/>
    <s v="HDPK Dharmasena"/>
    <s v="RK Illingworth"/>
  </r>
  <r>
    <n v="468"/>
    <s v="Sharjah"/>
    <x v="6"/>
    <d v="2014-04-24T00:00:00"/>
    <x v="153"/>
    <x v="29"/>
    <s v="Kolkata Knight Riders"/>
    <s v="Royal Challengers Bangalore"/>
    <x v="0"/>
    <x v="0"/>
    <s v="normal"/>
    <x v="0"/>
    <n v="2"/>
    <n v="0"/>
    <s v="Aleem Dar"/>
    <s v="VA Kulkarni"/>
  </r>
  <r>
    <n v="469"/>
    <m/>
    <x v="6"/>
    <d v="2014-04-25T00:00:00"/>
    <x v="140"/>
    <x v="30"/>
    <s v="Sunrisers Hyderabad"/>
    <s v="Delhi Daredevils"/>
    <x v="10"/>
    <x v="1"/>
    <s v="normal"/>
    <x v="11"/>
    <n v="4"/>
    <n v="0"/>
    <s v="M Erasmus"/>
    <s v="S Ravi"/>
  </r>
  <r>
    <n v="470"/>
    <m/>
    <x v="6"/>
    <d v="2014-04-25T00:00:00"/>
    <x v="154"/>
    <x v="30"/>
    <s v="Mumbai Indians"/>
    <s v="Chennai Super Kings"/>
    <x v="3"/>
    <x v="1"/>
    <s v="normal"/>
    <x v="1"/>
    <n v="0"/>
    <n v="7"/>
    <s v="BF Bowden"/>
    <s v="M Erasmus"/>
  </r>
  <r>
    <n v="471"/>
    <s v="Abu Dhabi"/>
    <x v="6"/>
    <d v="2014-04-26T00:00:00"/>
    <x v="155"/>
    <x v="28"/>
    <s v="Royal Challengers Bangalore"/>
    <s v="Rajasthan Royals"/>
    <x v="2"/>
    <x v="0"/>
    <s v="normal"/>
    <x v="4"/>
    <n v="0"/>
    <n v="6"/>
    <s v="HDPK Dharmasena"/>
    <s v="C Shamshuddin"/>
  </r>
  <r>
    <n v="472"/>
    <s v="Abu Dhabi"/>
    <x v="6"/>
    <d v="2014-04-26T00:00:00"/>
    <x v="156"/>
    <x v="28"/>
    <s v="Kings XI Punjab"/>
    <s v="Kolkata Knight Riders"/>
    <x v="6"/>
    <x v="0"/>
    <s v="normal"/>
    <x v="5"/>
    <n v="23"/>
    <n v="0"/>
    <s v="HDPK Dharmasena"/>
    <s v="RK Illingworth"/>
  </r>
  <r>
    <n v="473"/>
    <s v="Sharjah"/>
    <x v="6"/>
    <d v="2014-04-27T00:00:00"/>
    <x v="81"/>
    <x v="29"/>
    <s v="Mumbai Indians"/>
    <s v="Delhi Daredevils"/>
    <x v="3"/>
    <x v="1"/>
    <s v="normal"/>
    <x v="2"/>
    <n v="0"/>
    <n v="6"/>
    <s v="Aleem Dar"/>
    <s v="VA Kulkarni"/>
  </r>
  <r>
    <n v="474"/>
    <s v="Sharjah"/>
    <x v="6"/>
    <d v="2014-04-27T00:00:00"/>
    <x v="60"/>
    <x v="29"/>
    <s v="Sunrisers Hyderabad"/>
    <s v="Chennai Super Kings"/>
    <x v="10"/>
    <x v="1"/>
    <s v="normal"/>
    <x v="1"/>
    <n v="0"/>
    <n v="5"/>
    <s v="AK Chaudhary"/>
    <s v="VA Kulkarni"/>
  </r>
  <r>
    <n v="475"/>
    <m/>
    <x v="6"/>
    <d v="2014-04-28T00:00:00"/>
    <x v="156"/>
    <x v="30"/>
    <s v="Royal Challengers Bangalore"/>
    <s v="Kings XI Punjab"/>
    <x v="5"/>
    <x v="0"/>
    <s v="normal"/>
    <x v="5"/>
    <n v="0"/>
    <n v="5"/>
    <s v="BF Bowden"/>
    <s v="S Ravi"/>
  </r>
  <r>
    <n v="476"/>
    <s v="Abu Dhabi"/>
    <x v="6"/>
    <d v="2014-04-29T00:00:00"/>
    <x v="141"/>
    <x v="28"/>
    <s v="Rajasthan Royals"/>
    <s v="Kolkata Knight Riders"/>
    <x v="2"/>
    <x v="1"/>
    <s v="tie"/>
    <x v="4"/>
    <n v="0"/>
    <n v="0"/>
    <s v="Aleem Dar"/>
    <s v="AK Chaudhary"/>
  </r>
  <r>
    <n v="477"/>
    <m/>
    <x v="6"/>
    <d v="2014-04-30T00:00:00"/>
    <x v="157"/>
    <x v="30"/>
    <s v="Sunrisers Hyderabad"/>
    <s v="Mumbai Indians"/>
    <x v="3"/>
    <x v="0"/>
    <s v="normal"/>
    <x v="11"/>
    <n v="15"/>
    <n v="0"/>
    <s v="HDPK Dharmasena"/>
    <s v="M Erasmus"/>
  </r>
  <r>
    <n v="478"/>
    <s v="Ranchi"/>
    <x v="6"/>
    <d v="2014-05-02T00:00:00"/>
    <x v="120"/>
    <x v="27"/>
    <s v="Chennai Super Kings"/>
    <s v="Kolkata Knight Riders"/>
    <x v="1"/>
    <x v="1"/>
    <s v="normal"/>
    <x v="1"/>
    <n v="34"/>
    <n v="0"/>
    <s v="AK Chaudhary"/>
    <s v="NJ Llong"/>
  </r>
  <r>
    <n v="479"/>
    <s v="Mumbai"/>
    <x v="6"/>
    <d v="2014-05-03T00:00:00"/>
    <x v="158"/>
    <x v="3"/>
    <s v="Kings XI Punjab"/>
    <s v="Mumbai Indians"/>
    <x v="5"/>
    <x v="1"/>
    <s v="normal"/>
    <x v="7"/>
    <n v="0"/>
    <n v="5"/>
    <s v="BNJ Oxenford"/>
    <s v="C Shamshuddin"/>
  </r>
  <r>
    <n v="480"/>
    <s v="Delhi"/>
    <x v="6"/>
    <d v="2014-05-03T00:00:00"/>
    <x v="159"/>
    <x v="2"/>
    <s v="Delhi Daredevils"/>
    <s v="Rajasthan Royals"/>
    <x v="2"/>
    <x v="0"/>
    <s v="normal"/>
    <x v="4"/>
    <n v="0"/>
    <n v="7"/>
    <s v="SS Hazare"/>
    <s v="S Ravi"/>
  </r>
  <r>
    <n v="481"/>
    <s v="Bangalore"/>
    <x v="6"/>
    <d v="2014-05-04T00:00:00"/>
    <x v="46"/>
    <x v="0"/>
    <s v="Sunrisers Hyderabad"/>
    <s v="Royal Challengers Bangalore"/>
    <x v="0"/>
    <x v="0"/>
    <s v="normal"/>
    <x v="3"/>
    <n v="0"/>
    <n v="4"/>
    <s v="HDPK Dharmasena"/>
    <s v="VA Kulkarni"/>
  </r>
  <r>
    <n v="482"/>
    <s v="Ahmedabad"/>
    <x v="6"/>
    <d v="2014-05-05T00:00:00"/>
    <x v="155"/>
    <x v="18"/>
    <s v="Rajasthan Royals"/>
    <s v="Kolkata Knight Riders"/>
    <x v="6"/>
    <x v="0"/>
    <s v="normal"/>
    <x v="4"/>
    <n v="10"/>
    <n v="0"/>
    <s v="NJ Llong"/>
    <s v="CK Nandan"/>
  </r>
  <r>
    <n v="483"/>
    <s v="Delhi"/>
    <x v="6"/>
    <d v="2014-05-05T00:00:00"/>
    <x v="60"/>
    <x v="2"/>
    <s v="Delhi Daredevils"/>
    <s v="Chennai Super Kings"/>
    <x v="1"/>
    <x v="0"/>
    <s v="normal"/>
    <x v="1"/>
    <n v="0"/>
    <n v="8"/>
    <s v="RM Deshpande"/>
    <s v="BNJ Oxenford"/>
  </r>
  <r>
    <n v="484"/>
    <s v="Mumbai"/>
    <x v="6"/>
    <d v="2014-05-06T00:00:00"/>
    <x v="57"/>
    <x v="3"/>
    <s v="Mumbai Indians"/>
    <s v="Royal Challengers Bangalore"/>
    <x v="0"/>
    <x v="0"/>
    <s v="normal"/>
    <x v="7"/>
    <n v="19"/>
    <n v="0"/>
    <s v="S Ravi"/>
    <s v="K Srinath"/>
  </r>
  <r>
    <n v="485"/>
    <s v="Delhi"/>
    <x v="6"/>
    <d v="2014-05-07T00:00:00"/>
    <x v="56"/>
    <x v="2"/>
    <s v="Delhi Daredevils"/>
    <s v="Kolkata Knight Riders"/>
    <x v="7"/>
    <x v="1"/>
    <s v="normal"/>
    <x v="0"/>
    <n v="0"/>
    <n v="8"/>
    <s v="BNJ Oxenford"/>
    <s v="C Shamshuddin"/>
  </r>
  <r>
    <n v="486"/>
    <s v="Cuttack"/>
    <x v="6"/>
    <d v="2014-05-07T00:00:00"/>
    <x v="152"/>
    <x v="19"/>
    <s v="Kings XI Punjab"/>
    <s v="Chennai Super Kings"/>
    <x v="1"/>
    <x v="0"/>
    <s v="normal"/>
    <x v="5"/>
    <n v="44"/>
    <n v="0"/>
    <s v="HDPK Dharmasena"/>
    <s v="PG Pathak"/>
  </r>
  <r>
    <n v="487"/>
    <s v="Ahmedabad"/>
    <x v="6"/>
    <d v="2014-05-08T00:00:00"/>
    <x v="157"/>
    <x v="18"/>
    <s v="Sunrisers Hyderabad"/>
    <s v="Rajasthan Royals"/>
    <x v="2"/>
    <x v="0"/>
    <s v="normal"/>
    <x v="11"/>
    <n v="32"/>
    <n v="0"/>
    <s v="AK Chaudhary"/>
    <s v="NJ Llong"/>
  </r>
  <r>
    <n v="488"/>
    <s v="Bangalore"/>
    <x v="6"/>
    <d v="2014-05-09T00:00:00"/>
    <x v="156"/>
    <x v="0"/>
    <s v="Kings XI Punjab"/>
    <s v="Royal Challengers Bangalore"/>
    <x v="0"/>
    <x v="0"/>
    <s v="normal"/>
    <x v="5"/>
    <n v="32"/>
    <n v="0"/>
    <s v="S Ravi"/>
    <s v="K Srinath"/>
  </r>
  <r>
    <n v="489"/>
    <s v="Delhi"/>
    <x v="6"/>
    <d v="2014-05-10T00:00:00"/>
    <x v="101"/>
    <x v="2"/>
    <s v="Delhi Daredevils"/>
    <s v="Sunrisers Hyderabad"/>
    <x v="10"/>
    <x v="0"/>
    <s v="normal"/>
    <x v="11"/>
    <n v="0"/>
    <n v="8"/>
    <s v="RM Deshpande"/>
    <s v="BNJ Oxenford"/>
  </r>
  <r>
    <n v="490"/>
    <s v="Mumbai"/>
    <x v="6"/>
    <d v="2014-05-10T00:00:00"/>
    <x v="60"/>
    <x v="3"/>
    <s v="Mumbai Indians"/>
    <s v="Chennai Super Kings"/>
    <x v="1"/>
    <x v="0"/>
    <s v="normal"/>
    <x v="1"/>
    <n v="0"/>
    <n v="4"/>
    <s v="HDPK Dharmasena"/>
    <s v="VA Kulkarni"/>
  </r>
  <r>
    <n v="491"/>
    <s v="Cuttack"/>
    <x v="6"/>
    <d v="2014-05-11T00:00:00"/>
    <x v="56"/>
    <x v="19"/>
    <s v="Kings XI Punjab"/>
    <s v="Kolkata Knight Riders"/>
    <x v="6"/>
    <x v="0"/>
    <s v="normal"/>
    <x v="0"/>
    <n v="0"/>
    <n v="9"/>
    <s v="NJ Llong"/>
    <s v="CK Nandan"/>
  </r>
  <r>
    <n v="492"/>
    <s v="Bangalore"/>
    <x v="6"/>
    <d v="2014-05-11T00:00:00"/>
    <x v="141"/>
    <x v="0"/>
    <s v="Royal Challengers Bangalore"/>
    <s v="Rajasthan Royals"/>
    <x v="0"/>
    <x v="1"/>
    <s v="normal"/>
    <x v="4"/>
    <n v="0"/>
    <n v="5"/>
    <s v="S Ravi"/>
    <s v="RJ Tucker"/>
  </r>
  <r>
    <n v="493"/>
    <s v="Hyderabad"/>
    <x v="6"/>
    <d v="2014-05-12T00:00:00"/>
    <x v="83"/>
    <x v="6"/>
    <s v="Sunrisers Hyderabad"/>
    <s v="Mumbai Indians"/>
    <x v="10"/>
    <x v="1"/>
    <s v="normal"/>
    <x v="7"/>
    <n v="0"/>
    <n v="7"/>
    <s v="HDPK Dharmasena"/>
    <s v="VA Kulkarni"/>
  </r>
  <r>
    <n v="494"/>
    <s v="Ranchi"/>
    <x v="6"/>
    <d v="2014-05-13T00:00:00"/>
    <x v="120"/>
    <x v="27"/>
    <s v="Rajasthan Royals"/>
    <s v="Chennai Super Kings"/>
    <x v="2"/>
    <x v="1"/>
    <s v="normal"/>
    <x v="1"/>
    <n v="0"/>
    <n v="5"/>
    <s v="BNJ Oxenford"/>
    <s v="C Shamshuddin"/>
  </r>
  <r>
    <n v="495"/>
    <s v="Bangalore"/>
    <x v="6"/>
    <d v="2014-05-13T00:00:00"/>
    <x v="53"/>
    <x v="0"/>
    <s v="Royal Challengers Bangalore"/>
    <s v="Delhi Daredevils"/>
    <x v="7"/>
    <x v="0"/>
    <s v="normal"/>
    <x v="3"/>
    <n v="16"/>
    <n v="0"/>
    <s v="K Srinath"/>
    <s v="RJ Tucker"/>
  </r>
  <r>
    <n v="496"/>
    <s v="Hyderabad"/>
    <x v="6"/>
    <d v="2014-05-14T00:00:00"/>
    <x v="113"/>
    <x v="6"/>
    <s v="Sunrisers Hyderabad"/>
    <s v="Kings XI Punjab"/>
    <x v="5"/>
    <x v="0"/>
    <s v="normal"/>
    <x v="5"/>
    <n v="0"/>
    <n v="6"/>
    <s v="VA Kulkarni"/>
    <s v="PG Pathak"/>
  </r>
  <r>
    <n v="497"/>
    <s v="Cuttack"/>
    <x v="6"/>
    <d v="2014-05-14T00:00:00"/>
    <x v="75"/>
    <x v="19"/>
    <s v="Mumbai Indians"/>
    <s v="Kolkata Knight Riders"/>
    <x v="6"/>
    <x v="0"/>
    <s v="normal"/>
    <x v="0"/>
    <n v="0"/>
    <n v="6"/>
    <s v="AK Chaudhary"/>
    <s v="NJ Llong"/>
  </r>
  <r>
    <n v="498"/>
    <s v="Ahmedabad"/>
    <x v="6"/>
    <d v="2014-05-15T00:00:00"/>
    <x v="119"/>
    <x v="18"/>
    <s v="Rajasthan Royals"/>
    <s v="Delhi Daredevils"/>
    <x v="7"/>
    <x v="0"/>
    <s v="normal"/>
    <x v="4"/>
    <n v="62"/>
    <n v="0"/>
    <s v="S Ravi"/>
    <s v="RJ Tucker"/>
  </r>
  <r>
    <n v="499"/>
    <s v="Ranchi"/>
    <x v="6"/>
    <d v="2014-05-18T00:00:00"/>
    <x v="46"/>
    <x v="27"/>
    <s v="Chennai Super Kings"/>
    <s v="Royal Challengers Bangalore"/>
    <x v="1"/>
    <x v="1"/>
    <s v="normal"/>
    <x v="3"/>
    <n v="0"/>
    <n v="5"/>
    <s v="BNJ Oxenford"/>
    <s v="C Shamshuddin"/>
  </r>
  <r>
    <n v="500"/>
    <s v="Hyderabad"/>
    <x v="6"/>
    <d v="2014-05-18T00:00:00"/>
    <x v="136"/>
    <x v="6"/>
    <s v="Sunrisers Hyderabad"/>
    <s v="Kolkata Knight Riders"/>
    <x v="10"/>
    <x v="1"/>
    <s v="normal"/>
    <x v="0"/>
    <n v="0"/>
    <n v="7"/>
    <s v="NJ Llong"/>
    <s v="CK Nandan"/>
  </r>
  <r>
    <n v="501"/>
    <s v="Ahmedabad"/>
    <x v="6"/>
    <d v="2014-05-19T00:00:00"/>
    <x v="1"/>
    <x v="18"/>
    <s v="Mumbai Indians"/>
    <s v="Rajasthan Royals"/>
    <x v="3"/>
    <x v="1"/>
    <s v="normal"/>
    <x v="7"/>
    <n v="25"/>
    <n v="0"/>
    <s v="S Ravi"/>
    <s v="RJ Tucker"/>
  </r>
  <r>
    <n v="502"/>
    <s v="Delhi"/>
    <x v="6"/>
    <d v="2014-05-19T00:00:00"/>
    <x v="160"/>
    <x v="2"/>
    <s v="Delhi Daredevils"/>
    <s v="Kings XI Punjab"/>
    <x v="5"/>
    <x v="0"/>
    <s v="normal"/>
    <x v="5"/>
    <n v="0"/>
    <n v="4"/>
    <s v="HDPK Dharmasena"/>
    <s v="PG Pathak"/>
  </r>
  <r>
    <n v="503"/>
    <s v="Hyderabad"/>
    <x v="6"/>
    <d v="2014-05-20T00:00:00"/>
    <x v="79"/>
    <x v="6"/>
    <s v="Royal Challengers Bangalore"/>
    <s v="Sunrisers Hyderabad"/>
    <x v="0"/>
    <x v="1"/>
    <s v="normal"/>
    <x v="11"/>
    <n v="0"/>
    <n v="7"/>
    <s v="AK Chaudhary"/>
    <s v="NJ Llong"/>
  </r>
  <r>
    <n v="504"/>
    <s v="Kolkata"/>
    <x v="6"/>
    <d v="2014-05-20T00:00:00"/>
    <x v="75"/>
    <x v="4"/>
    <s v="Chennai Super Kings"/>
    <s v="Kolkata Knight Riders"/>
    <x v="6"/>
    <x v="0"/>
    <s v="normal"/>
    <x v="0"/>
    <n v="0"/>
    <n v="8"/>
    <s v="RM Deshpande"/>
    <s v="C Shamshuddin"/>
  </r>
  <r>
    <n v="505"/>
    <s v="Chandigarh"/>
    <x v="6"/>
    <d v="2014-05-21T00:00:00"/>
    <x v="161"/>
    <x v="1"/>
    <s v="Kings XI Punjab"/>
    <s v="Mumbai Indians"/>
    <x v="3"/>
    <x v="0"/>
    <s v="normal"/>
    <x v="7"/>
    <n v="0"/>
    <n v="7"/>
    <s v="HDPK Dharmasena"/>
    <s v="VA Kulkarni"/>
  </r>
  <r>
    <n v="506"/>
    <s v="Kolkata"/>
    <x v="6"/>
    <d v="2014-05-22T00:00:00"/>
    <x v="75"/>
    <x v="4"/>
    <s v="Kolkata Knight Riders"/>
    <s v="Royal Challengers Bangalore"/>
    <x v="0"/>
    <x v="0"/>
    <s v="normal"/>
    <x v="0"/>
    <n v="30"/>
    <n v="0"/>
    <s v="AK Chaudhary"/>
    <s v="CK Nandan"/>
  </r>
  <r>
    <n v="507"/>
    <s v="Ranchi"/>
    <x v="6"/>
    <d v="2014-05-22T00:00:00"/>
    <x v="79"/>
    <x v="27"/>
    <s v="Chennai Super Kings"/>
    <s v="Sunrisers Hyderabad"/>
    <x v="10"/>
    <x v="0"/>
    <s v="normal"/>
    <x v="11"/>
    <n v="0"/>
    <n v="6"/>
    <s v="BNJ Oxenford"/>
    <s v="C Shamshuddin"/>
  </r>
  <r>
    <n v="508"/>
    <s v="Mumbai"/>
    <x v="6"/>
    <d v="2014-05-23T00:00:00"/>
    <x v="1"/>
    <x v="3"/>
    <s v="Mumbai Indians"/>
    <s v="Delhi Daredevils"/>
    <x v="7"/>
    <x v="0"/>
    <s v="normal"/>
    <x v="7"/>
    <n v="15"/>
    <n v="0"/>
    <s v="S Ravi"/>
    <s v="RJ Tucker"/>
  </r>
  <r>
    <n v="509"/>
    <s v="Chandigarh"/>
    <x v="6"/>
    <d v="2014-05-23T00:00:00"/>
    <x v="16"/>
    <x v="1"/>
    <s v="Kings XI Punjab"/>
    <s v="Rajasthan Royals"/>
    <x v="2"/>
    <x v="0"/>
    <s v="normal"/>
    <x v="5"/>
    <n v="16"/>
    <n v="0"/>
    <s v="HDPK Dharmasena"/>
    <s v="PG Pathak"/>
  </r>
  <r>
    <n v="510"/>
    <s v="Bangalore"/>
    <x v="6"/>
    <d v="2014-05-24T00:00:00"/>
    <x v="13"/>
    <x v="0"/>
    <s v="Royal Challengers Bangalore"/>
    <s v="Chennai Super Kings"/>
    <x v="1"/>
    <x v="0"/>
    <s v="normal"/>
    <x v="1"/>
    <n v="0"/>
    <n v="8"/>
    <s v="AK Chaudhary"/>
    <s v="NJ Llong"/>
  </r>
  <r>
    <n v="511"/>
    <s v="Kolkata"/>
    <x v="6"/>
    <d v="2014-05-24T00:00:00"/>
    <x v="8"/>
    <x v="4"/>
    <s v="Sunrisers Hyderabad"/>
    <s v="Kolkata Knight Riders"/>
    <x v="6"/>
    <x v="0"/>
    <s v="normal"/>
    <x v="0"/>
    <n v="0"/>
    <n v="4"/>
    <s v="RM Deshpande"/>
    <s v="BNJ Oxenford"/>
  </r>
  <r>
    <n v="512"/>
    <s v="Chandigarh"/>
    <x v="6"/>
    <d v="2014-05-25T00:00:00"/>
    <x v="138"/>
    <x v="1"/>
    <s v="Delhi Daredevils"/>
    <s v="Kings XI Punjab"/>
    <x v="5"/>
    <x v="0"/>
    <s v="normal"/>
    <x v="5"/>
    <n v="0"/>
    <n v="7"/>
    <s v="HDPK Dharmasena"/>
    <s v="VA Kulkarni"/>
  </r>
  <r>
    <n v="513"/>
    <s v="Mumbai"/>
    <x v="6"/>
    <d v="2014-05-25T00:00:00"/>
    <x v="158"/>
    <x v="3"/>
    <s v="Rajasthan Royals"/>
    <s v="Mumbai Indians"/>
    <x v="3"/>
    <x v="0"/>
    <s v="normal"/>
    <x v="7"/>
    <n v="0"/>
    <n v="5"/>
    <s v="K Srinath"/>
    <s v="RJ Tucker"/>
  </r>
  <r>
    <n v="514"/>
    <s v="Kolkata"/>
    <x v="6"/>
    <d v="2014-05-27T00:00:00"/>
    <x v="136"/>
    <x v="4"/>
    <s v="Kolkata Knight Riders"/>
    <s v="Kings XI Punjab"/>
    <x v="5"/>
    <x v="0"/>
    <s v="normal"/>
    <x v="0"/>
    <n v="28"/>
    <n v="0"/>
    <s v="NJ Llong"/>
    <s v="S Ravi"/>
  </r>
  <r>
    <n v="515"/>
    <s v="Mumbai"/>
    <x v="6"/>
    <d v="2014-05-28T00:00:00"/>
    <x v="39"/>
    <x v="17"/>
    <s v="Mumbai Indians"/>
    <s v="Chennai Super Kings"/>
    <x v="1"/>
    <x v="0"/>
    <s v="normal"/>
    <x v="1"/>
    <n v="0"/>
    <n v="7"/>
    <s v="VA Kulkarni"/>
    <s v="BNJ Oxenford"/>
  </r>
  <r>
    <n v="516"/>
    <s v="Mumbai"/>
    <x v="6"/>
    <d v="2014-05-30T00:00:00"/>
    <x v="6"/>
    <x v="3"/>
    <s v="Kings XI Punjab"/>
    <s v="Chennai Super Kings"/>
    <x v="1"/>
    <x v="0"/>
    <s v="normal"/>
    <x v="5"/>
    <n v="24"/>
    <n v="0"/>
    <s v="HDPK Dharmasena"/>
    <s v="RJ Tucker"/>
  </r>
  <r>
    <n v="517"/>
    <s v="Bangalore"/>
    <x v="6"/>
    <d v="2014-06-01T00:00:00"/>
    <x v="68"/>
    <x v="0"/>
    <s v="Kings XI Punjab"/>
    <s v="Kolkata Knight Riders"/>
    <x v="6"/>
    <x v="0"/>
    <s v="normal"/>
    <x v="0"/>
    <n v="0"/>
    <n v="3"/>
    <s v="HDPK Dharmasena"/>
    <s v="BNJ Oxenford"/>
  </r>
  <r>
    <n v="518"/>
    <s v="Kolkata"/>
    <x v="7"/>
    <d v="2015-04-08T00:00:00"/>
    <x v="122"/>
    <x v="4"/>
    <s v="Mumbai Indians"/>
    <s v="Kolkata Knight Riders"/>
    <x v="6"/>
    <x v="0"/>
    <s v="normal"/>
    <x v="0"/>
    <n v="0"/>
    <n v="7"/>
    <s v="S Ravi"/>
    <s v="C Shamshuddin"/>
  </r>
  <r>
    <n v="519"/>
    <s v="Chennai"/>
    <x v="7"/>
    <d v="2015-04-09T00:00:00"/>
    <x v="23"/>
    <x v="7"/>
    <s v="Chennai Super Kings"/>
    <s v="Delhi Daredevils"/>
    <x v="7"/>
    <x v="0"/>
    <s v="normal"/>
    <x v="1"/>
    <n v="1"/>
    <n v="0"/>
    <s v="RK Illingworth"/>
    <s v="VA Kulkarni"/>
  </r>
  <r>
    <n v="520"/>
    <s v="Pune"/>
    <x v="7"/>
    <d v="2015-04-10T00:00:00"/>
    <x v="141"/>
    <x v="31"/>
    <s v="Rajasthan Royals"/>
    <s v="Kings XI Punjab"/>
    <x v="5"/>
    <x v="0"/>
    <s v="normal"/>
    <x v="4"/>
    <n v="26"/>
    <n v="0"/>
    <s v="SD Fry"/>
    <s v="CB Gaffaney"/>
  </r>
  <r>
    <n v="521"/>
    <s v="Chennai"/>
    <x v="7"/>
    <d v="2015-04-11T00:00:00"/>
    <x v="0"/>
    <x v="7"/>
    <s v="Chennai Super Kings"/>
    <s v="Sunrisers Hyderabad"/>
    <x v="1"/>
    <x v="1"/>
    <s v="normal"/>
    <x v="1"/>
    <n v="45"/>
    <n v="0"/>
    <s v="RK Illingworth"/>
    <s v="VA Kulkarni"/>
  </r>
  <r>
    <n v="522"/>
    <s v="Kolkata"/>
    <x v="7"/>
    <d v="2015-04-11T00:00:00"/>
    <x v="45"/>
    <x v="4"/>
    <s v="Kolkata Knight Riders"/>
    <s v="Royal Challengers Bangalore"/>
    <x v="0"/>
    <x v="0"/>
    <s v="normal"/>
    <x v="3"/>
    <n v="0"/>
    <n v="3"/>
    <s v="S Ravi"/>
    <s v="C Shamshuddin"/>
  </r>
  <r>
    <n v="523"/>
    <s v="Delhi"/>
    <x v="7"/>
    <d v="2015-04-12T00:00:00"/>
    <x v="162"/>
    <x v="2"/>
    <s v="Delhi Daredevils"/>
    <s v="Rajasthan Royals"/>
    <x v="2"/>
    <x v="0"/>
    <s v="normal"/>
    <x v="4"/>
    <n v="0"/>
    <n v="3"/>
    <s v="SD Fry"/>
    <s v="CB Gaffaney"/>
  </r>
  <r>
    <n v="524"/>
    <s v="Mumbai"/>
    <x v="7"/>
    <d v="2015-04-12T00:00:00"/>
    <x v="163"/>
    <x v="3"/>
    <s v="Kings XI Punjab"/>
    <s v="Mumbai Indians"/>
    <x v="3"/>
    <x v="0"/>
    <s v="normal"/>
    <x v="5"/>
    <n v="18"/>
    <n v="0"/>
    <s v="AK Chaudhary"/>
    <s v="K Srinivasan"/>
  </r>
  <r>
    <n v="525"/>
    <s v="Bangalore"/>
    <x v="7"/>
    <d v="2015-04-13T00:00:00"/>
    <x v="79"/>
    <x v="0"/>
    <s v="Royal Challengers Bangalore"/>
    <s v="Sunrisers Hyderabad"/>
    <x v="10"/>
    <x v="0"/>
    <s v="normal"/>
    <x v="11"/>
    <n v="0"/>
    <n v="8"/>
    <s v="RM Deshpande"/>
    <s v="RK Illingworth"/>
  </r>
  <r>
    <n v="526"/>
    <s v="Ahmedabad"/>
    <x v="7"/>
    <d v="2015-04-14T00:00:00"/>
    <x v="118"/>
    <x v="18"/>
    <s v="Mumbai Indians"/>
    <s v="Rajasthan Royals"/>
    <x v="3"/>
    <x v="1"/>
    <s v="normal"/>
    <x v="4"/>
    <n v="0"/>
    <n v="7"/>
    <s v="AK Chaudhary"/>
    <s v="SD Fry"/>
  </r>
  <r>
    <n v="527"/>
    <s v="Kolkata"/>
    <x v="7"/>
    <d v="2015-04-30T00:00:00"/>
    <x v="164"/>
    <x v="4"/>
    <s v="Chennai Super Kings"/>
    <s v="Kolkata Knight Riders"/>
    <x v="6"/>
    <x v="0"/>
    <s v="normal"/>
    <x v="0"/>
    <n v="0"/>
    <n v="7"/>
    <s v="AK Chaudhary"/>
    <s v="M Erasmus"/>
  </r>
  <r>
    <n v="528"/>
    <s v="Pune"/>
    <x v="7"/>
    <d v="2015-04-15T00:00:00"/>
    <x v="165"/>
    <x v="31"/>
    <s v="Kings XI Punjab"/>
    <s v="Delhi Daredevils"/>
    <x v="5"/>
    <x v="1"/>
    <s v="normal"/>
    <x v="2"/>
    <n v="0"/>
    <n v="5"/>
    <s v="CB Gaffaney"/>
    <s v="K Srinath"/>
  </r>
  <r>
    <n v="529"/>
    <s v="Visakhapatnam"/>
    <x v="7"/>
    <d v="2015-04-16T00:00:00"/>
    <x v="119"/>
    <x v="24"/>
    <s v="Sunrisers Hyderabad"/>
    <s v="Rajasthan Royals"/>
    <x v="2"/>
    <x v="0"/>
    <s v="normal"/>
    <x v="4"/>
    <n v="0"/>
    <n v="6"/>
    <s v="PG Pathak"/>
    <s v="S Ravi"/>
  </r>
  <r>
    <n v="530"/>
    <s v="Mumbai"/>
    <x v="7"/>
    <d v="2015-04-17T00:00:00"/>
    <x v="23"/>
    <x v="3"/>
    <s v="Mumbai Indians"/>
    <s v="Chennai Super Kings"/>
    <x v="3"/>
    <x v="1"/>
    <s v="normal"/>
    <x v="1"/>
    <n v="0"/>
    <n v="6"/>
    <s v="AK Chaudhary"/>
    <s v="M Erasmus"/>
  </r>
  <r>
    <n v="531"/>
    <s v="Visakhapatnam"/>
    <x v="7"/>
    <d v="2015-04-18T00:00:00"/>
    <x v="52"/>
    <x v="24"/>
    <s v="Delhi Daredevils"/>
    <s v="Sunrisers Hyderabad"/>
    <x v="7"/>
    <x v="1"/>
    <s v="normal"/>
    <x v="2"/>
    <n v="4"/>
    <n v="0"/>
    <s v="PG Pathak"/>
    <s v="S Ravi"/>
  </r>
  <r>
    <n v="532"/>
    <s v="Pune"/>
    <x v="7"/>
    <d v="2015-04-18T00:00:00"/>
    <x v="164"/>
    <x v="31"/>
    <s v="Kings XI Punjab"/>
    <s v="Kolkata Knight Riders"/>
    <x v="6"/>
    <x v="0"/>
    <s v="normal"/>
    <x v="0"/>
    <n v="0"/>
    <n v="4"/>
    <s v="SD Fry"/>
    <s v="CK Nandan"/>
  </r>
  <r>
    <n v="533"/>
    <s v="Ahmedabad"/>
    <x v="7"/>
    <d v="2015-04-19T00:00:00"/>
    <x v="119"/>
    <x v="18"/>
    <s v="Chennai Super Kings"/>
    <s v="Rajasthan Royals"/>
    <x v="1"/>
    <x v="1"/>
    <s v="normal"/>
    <x v="4"/>
    <n v="0"/>
    <n v="8"/>
    <s v="AK Chaudhary"/>
    <s v="M Erasmus"/>
  </r>
  <r>
    <n v="534"/>
    <s v="Bangalore"/>
    <x v="7"/>
    <d v="2015-04-19T00:00:00"/>
    <x v="62"/>
    <x v="0"/>
    <s v="Mumbai Indians"/>
    <s v="Royal Challengers Bangalore"/>
    <x v="0"/>
    <x v="0"/>
    <s v="normal"/>
    <x v="7"/>
    <n v="18"/>
    <n v="0"/>
    <s v="RK Illingworth"/>
    <s v="VA Kulkarni"/>
  </r>
  <r>
    <n v="535"/>
    <s v="Delhi"/>
    <x v="7"/>
    <d v="2015-04-20T00:00:00"/>
    <x v="136"/>
    <x v="2"/>
    <s v="Delhi Daredevils"/>
    <s v="Kolkata Knight Riders"/>
    <x v="6"/>
    <x v="0"/>
    <s v="normal"/>
    <x v="0"/>
    <n v="0"/>
    <n v="6"/>
    <s v="SD Fry"/>
    <s v="CB Gaffaney"/>
  </r>
  <r>
    <n v="536"/>
    <s v="Ahmedabad"/>
    <x v="7"/>
    <d v="2015-04-21T00:00:00"/>
    <x v="16"/>
    <x v="18"/>
    <s v="Rajasthan Royals"/>
    <s v="Kings XI Punjab"/>
    <x v="5"/>
    <x v="0"/>
    <s v="tie"/>
    <x v="5"/>
    <n v="0"/>
    <n v="0"/>
    <s v="M Erasmus"/>
    <s v="S Ravi"/>
  </r>
  <r>
    <n v="537"/>
    <s v="Visakhapatnam"/>
    <x v="7"/>
    <d v="2015-04-22T00:00:00"/>
    <x v="79"/>
    <x v="24"/>
    <s v="Sunrisers Hyderabad"/>
    <s v="Kolkata Knight Riders"/>
    <x v="6"/>
    <x v="0"/>
    <s v="normal"/>
    <x v="11"/>
    <n v="16"/>
    <n v="0"/>
    <s v="RK Illingworth"/>
    <s v="VA Kulkarni"/>
  </r>
  <r>
    <n v="538"/>
    <s v="Bangalore"/>
    <x v="7"/>
    <d v="2015-04-22T00:00:00"/>
    <x v="39"/>
    <x v="0"/>
    <s v="Chennai Super Kings"/>
    <s v="Royal Challengers Bangalore"/>
    <x v="0"/>
    <x v="0"/>
    <s v="normal"/>
    <x v="1"/>
    <n v="27"/>
    <n v="0"/>
    <s v="JD Cloete"/>
    <s v="C Shamshuddin"/>
  </r>
  <r>
    <n v="539"/>
    <s v="Delhi"/>
    <x v="7"/>
    <d v="2015-04-23T00:00:00"/>
    <x v="166"/>
    <x v="2"/>
    <s v="Delhi Daredevils"/>
    <s v="Mumbai Indians"/>
    <x v="3"/>
    <x v="0"/>
    <s v="normal"/>
    <x v="2"/>
    <n v="37"/>
    <n v="0"/>
    <s v="SD Fry"/>
    <s v="CK Nandan"/>
  </r>
  <r>
    <n v="540"/>
    <s v="Ahmedabad"/>
    <x v="7"/>
    <d v="2015-04-24T00:00:00"/>
    <x v="167"/>
    <x v="18"/>
    <s v="Rajasthan Royals"/>
    <s v="Royal Challengers Bangalore"/>
    <x v="0"/>
    <x v="0"/>
    <s v="normal"/>
    <x v="3"/>
    <n v="0"/>
    <n v="9"/>
    <s v="M Erasmus"/>
    <s v="S Ravi"/>
  </r>
  <r>
    <n v="541"/>
    <s v="Mumbai"/>
    <x v="7"/>
    <d v="2015-04-25T00:00:00"/>
    <x v="80"/>
    <x v="3"/>
    <s v="Mumbai Indians"/>
    <s v="Sunrisers Hyderabad"/>
    <x v="3"/>
    <x v="1"/>
    <s v="normal"/>
    <x v="7"/>
    <n v="20"/>
    <n v="0"/>
    <s v="HDPK Dharmasena"/>
    <s v="CB Gaffaney"/>
  </r>
  <r>
    <n v="542"/>
    <s v="Chennai"/>
    <x v="7"/>
    <d v="2015-04-25T00:00:00"/>
    <x v="0"/>
    <x v="7"/>
    <s v="Chennai Super Kings"/>
    <s v="Kings XI Punjab"/>
    <x v="1"/>
    <x v="1"/>
    <s v="normal"/>
    <x v="1"/>
    <n v="97"/>
    <n v="0"/>
    <s v="JD Cloete"/>
    <s v="C Shamshuddin"/>
  </r>
  <r>
    <n v="543"/>
    <s v="Delhi"/>
    <x v="7"/>
    <d v="2015-04-26T00:00:00"/>
    <x v="168"/>
    <x v="2"/>
    <s v="Delhi Daredevils"/>
    <s v="Royal Challengers Bangalore"/>
    <x v="0"/>
    <x v="0"/>
    <s v="normal"/>
    <x v="3"/>
    <n v="0"/>
    <n v="10"/>
    <s v="M Erasmus"/>
    <s v="S Ravi"/>
  </r>
  <r>
    <n v="544"/>
    <s v="Chandigarh"/>
    <x v="7"/>
    <d v="2015-04-27T00:00:00"/>
    <x v="169"/>
    <x v="1"/>
    <s v="Sunrisers Hyderabad"/>
    <s v="Kings XI Punjab"/>
    <x v="5"/>
    <x v="0"/>
    <s v="normal"/>
    <x v="11"/>
    <n v="20"/>
    <n v="0"/>
    <s v="HDPK Dharmasena"/>
    <s v="CB Gaffaney"/>
  </r>
  <r>
    <n v="545"/>
    <s v="Kolkata"/>
    <x v="7"/>
    <d v="2015-05-07T00:00:00"/>
    <x v="88"/>
    <x v="4"/>
    <s v="Kolkata Knight Riders"/>
    <s v="Delhi Daredevils"/>
    <x v="6"/>
    <x v="1"/>
    <s v="normal"/>
    <x v="0"/>
    <n v="13"/>
    <n v="0"/>
    <s v="AK Chaudhary"/>
    <s v="M Erasmus"/>
  </r>
  <r>
    <n v="546"/>
    <s v="Bangalore"/>
    <x v="7"/>
    <d v="2015-04-29T00:00:00"/>
    <x v="115"/>
    <x v="0"/>
    <s v="Royal Challengers Bangalore"/>
    <s v="Rajasthan Royals"/>
    <x v="2"/>
    <x v="0"/>
    <s v="no result"/>
    <x v="10"/>
    <n v="0"/>
    <n v="0"/>
    <s v="JD Cloete"/>
    <s v="PG Pathak"/>
  </r>
  <r>
    <n v="547"/>
    <s v="Chennai"/>
    <x v="7"/>
    <d v="2015-04-28T00:00:00"/>
    <x v="31"/>
    <x v="7"/>
    <s v="Chennai Super Kings"/>
    <s v="Kolkata Knight Riders"/>
    <x v="6"/>
    <x v="0"/>
    <s v="normal"/>
    <x v="1"/>
    <n v="2"/>
    <n v="0"/>
    <s v="RM Deshpande"/>
    <s v="VA Kulkarni"/>
  </r>
  <r>
    <n v="548"/>
    <s v="Delhi"/>
    <x v="7"/>
    <d v="2015-05-01T00:00:00"/>
    <x v="170"/>
    <x v="2"/>
    <s v="Kings XI Punjab"/>
    <s v="Delhi Daredevils"/>
    <x v="7"/>
    <x v="0"/>
    <s v="normal"/>
    <x v="2"/>
    <n v="0"/>
    <n v="9"/>
    <s v="RK Illingworth"/>
    <s v="S Ravi"/>
  </r>
  <r>
    <n v="549"/>
    <s v="Mumbai"/>
    <x v="7"/>
    <d v="2015-05-01T00:00:00"/>
    <x v="83"/>
    <x v="3"/>
    <s v="Mumbai Indians"/>
    <s v="Rajasthan Royals"/>
    <x v="2"/>
    <x v="0"/>
    <s v="normal"/>
    <x v="7"/>
    <n v="8"/>
    <n v="0"/>
    <s v="HDPK Dharmasena"/>
    <s v="CK Nandan"/>
  </r>
  <r>
    <n v="550"/>
    <s v="Bangalore"/>
    <x v="7"/>
    <d v="2015-05-02T00:00:00"/>
    <x v="131"/>
    <x v="0"/>
    <s v="Kolkata Knight Riders"/>
    <s v="Royal Challengers Bangalore"/>
    <x v="0"/>
    <x v="0"/>
    <s v="normal"/>
    <x v="3"/>
    <n v="0"/>
    <n v="7"/>
    <s v="JD Cloete"/>
    <s v="PG Pathak"/>
  </r>
  <r>
    <n v="551"/>
    <s v="Hyderabad"/>
    <x v="7"/>
    <d v="2015-05-02T00:00:00"/>
    <x v="79"/>
    <x v="6"/>
    <s v="Sunrisers Hyderabad"/>
    <s v="Chennai Super Kings"/>
    <x v="1"/>
    <x v="0"/>
    <s v="normal"/>
    <x v="11"/>
    <n v="22"/>
    <n v="0"/>
    <s v="AK Chaudhary"/>
    <s v="K Srinivasan"/>
  </r>
  <r>
    <n v="552"/>
    <s v="Chandigarh"/>
    <x v="7"/>
    <d v="2015-05-03T00:00:00"/>
    <x v="161"/>
    <x v="1"/>
    <s v="Mumbai Indians"/>
    <s v="Kings XI Punjab"/>
    <x v="3"/>
    <x v="1"/>
    <s v="normal"/>
    <x v="7"/>
    <n v="23"/>
    <n v="0"/>
    <s v="RK Illingworth"/>
    <s v="VA Kulkarni"/>
  </r>
  <r>
    <n v="553"/>
    <s v="Mumbai"/>
    <x v="7"/>
    <d v="2015-05-03T00:00:00"/>
    <x v="119"/>
    <x v="17"/>
    <s v="Rajasthan Royals"/>
    <s v="Delhi Daredevils"/>
    <x v="7"/>
    <x v="0"/>
    <s v="normal"/>
    <x v="4"/>
    <n v="14"/>
    <n v="0"/>
    <s v="HDPK Dharmasena"/>
    <s v="CB Gaffaney"/>
  </r>
  <r>
    <n v="554"/>
    <s v="Chennai"/>
    <x v="7"/>
    <d v="2015-05-04T00:00:00"/>
    <x v="39"/>
    <x v="7"/>
    <s v="Chennai Super Kings"/>
    <s v="Royal Challengers Bangalore"/>
    <x v="1"/>
    <x v="1"/>
    <s v="normal"/>
    <x v="1"/>
    <n v="24"/>
    <n v="0"/>
    <s v="C Shamshuddin"/>
    <s v="K Srinath"/>
  </r>
  <r>
    <n v="555"/>
    <s v="Kolkata"/>
    <x v="7"/>
    <d v="2015-05-04T00:00:00"/>
    <x v="136"/>
    <x v="4"/>
    <s v="Kolkata Knight Riders"/>
    <s v="Sunrisers Hyderabad"/>
    <x v="10"/>
    <x v="0"/>
    <s v="normal"/>
    <x v="0"/>
    <n v="35"/>
    <n v="0"/>
    <s v="AK Chaudhary"/>
    <s v="M Erasmus"/>
  </r>
  <r>
    <n v="556"/>
    <s v="Mumbai"/>
    <x v="7"/>
    <d v="2015-05-05T00:00:00"/>
    <x v="62"/>
    <x v="3"/>
    <s v="Delhi Daredevils"/>
    <s v="Mumbai Indians"/>
    <x v="7"/>
    <x v="1"/>
    <s v="normal"/>
    <x v="7"/>
    <n v="0"/>
    <n v="5"/>
    <s v="HDPK Dharmasena"/>
    <s v="CB Gaffaney"/>
  </r>
  <r>
    <n v="557"/>
    <s v="Bangalore"/>
    <x v="7"/>
    <d v="2015-05-06T00:00:00"/>
    <x v="45"/>
    <x v="0"/>
    <s v="Royal Challengers Bangalore"/>
    <s v="Kings XI Punjab"/>
    <x v="5"/>
    <x v="0"/>
    <s v="normal"/>
    <x v="3"/>
    <n v="138"/>
    <n v="0"/>
    <s v="RK Illingworth"/>
    <s v="VA Kulkarni"/>
  </r>
  <r>
    <n v="558"/>
    <s v="Mumbai"/>
    <x v="7"/>
    <d v="2015-05-07T00:00:00"/>
    <x v="171"/>
    <x v="17"/>
    <s v="Sunrisers Hyderabad"/>
    <s v="Rajasthan Royals"/>
    <x v="2"/>
    <x v="0"/>
    <s v="normal"/>
    <x v="11"/>
    <n v="7"/>
    <n v="0"/>
    <s v="JD Cloete"/>
    <s v="C Shamshuddin"/>
  </r>
  <r>
    <n v="559"/>
    <s v="Chennai"/>
    <x v="7"/>
    <d v="2015-05-08T00:00:00"/>
    <x v="172"/>
    <x v="7"/>
    <s v="Chennai Super Kings"/>
    <s v="Mumbai Indians"/>
    <x v="1"/>
    <x v="1"/>
    <s v="normal"/>
    <x v="7"/>
    <n v="0"/>
    <n v="6"/>
    <s v="CB Gaffaney"/>
    <s v="CK Nandan"/>
  </r>
  <r>
    <n v="560"/>
    <s v="Kolkata"/>
    <x v="7"/>
    <d v="2015-05-09T00:00:00"/>
    <x v="164"/>
    <x v="4"/>
    <s v="Kings XI Punjab"/>
    <s v="Kolkata Knight Riders"/>
    <x v="5"/>
    <x v="1"/>
    <s v="normal"/>
    <x v="0"/>
    <n v="0"/>
    <n v="1"/>
    <s v="AK Chaudhary"/>
    <s v="HDPK Dharmasena"/>
  </r>
  <r>
    <n v="561"/>
    <s v="Raipur"/>
    <x v="7"/>
    <d v="2015-05-09T00:00:00"/>
    <x v="173"/>
    <x v="26"/>
    <s v="Sunrisers Hyderabad"/>
    <s v="Delhi Daredevils"/>
    <x v="10"/>
    <x v="1"/>
    <s v="normal"/>
    <x v="11"/>
    <n v="6"/>
    <n v="0"/>
    <s v="VA Kulkarni"/>
    <s v="S Ravi"/>
  </r>
  <r>
    <n v="562"/>
    <s v="Mumbai"/>
    <x v="7"/>
    <d v="2015-05-10T00:00:00"/>
    <x v="46"/>
    <x v="3"/>
    <s v="Royal Challengers Bangalore"/>
    <s v="Mumbai Indians"/>
    <x v="0"/>
    <x v="1"/>
    <s v="normal"/>
    <x v="3"/>
    <n v="39"/>
    <n v="0"/>
    <s v="JD Cloete"/>
    <s v="C Shamshuddin"/>
  </r>
  <r>
    <n v="563"/>
    <s v="Chennai"/>
    <x v="7"/>
    <d v="2015-05-10T00:00:00"/>
    <x v="120"/>
    <x v="7"/>
    <s v="Chennai Super Kings"/>
    <s v="Rajasthan Royals"/>
    <x v="1"/>
    <x v="1"/>
    <s v="normal"/>
    <x v="1"/>
    <n v="12"/>
    <n v="0"/>
    <s v="M Erasmus"/>
    <s v="CK Nandan"/>
  </r>
  <r>
    <n v="564"/>
    <s v="Hyderabad"/>
    <x v="7"/>
    <d v="2015-05-11T00:00:00"/>
    <x v="79"/>
    <x v="6"/>
    <s v="Sunrisers Hyderabad"/>
    <s v="Kings XI Punjab"/>
    <x v="10"/>
    <x v="1"/>
    <s v="normal"/>
    <x v="11"/>
    <n v="5"/>
    <n v="0"/>
    <s v="AK Chaudhary"/>
    <s v="HDPK Dharmasena"/>
  </r>
  <r>
    <n v="565"/>
    <s v="Raipur"/>
    <x v="7"/>
    <d v="2015-05-12T00:00:00"/>
    <x v="174"/>
    <x v="26"/>
    <s v="Chennai Super Kings"/>
    <s v="Delhi Daredevils"/>
    <x v="1"/>
    <x v="1"/>
    <s v="normal"/>
    <x v="2"/>
    <n v="0"/>
    <n v="6"/>
    <s v="RK Illingworth"/>
    <s v="VA Kulkarni"/>
  </r>
  <r>
    <n v="566"/>
    <s v="Chandigarh"/>
    <x v="7"/>
    <d v="2015-05-13T00:00:00"/>
    <x v="160"/>
    <x v="1"/>
    <s v="Kings XI Punjab"/>
    <s v="Royal Challengers Bangalore"/>
    <x v="0"/>
    <x v="0"/>
    <s v="normal"/>
    <x v="5"/>
    <n v="22"/>
    <n v="0"/>
    <s v="JD Cloete"/>
    <s v="C Shamshuddin"/>
  </r>
  <r>
    <n v="567"/>
    <s v="Mumbai"/>
    <x v="7"/>
    <d v="2015-05-14T00:00:00"/>
    <x v="172"/>
    <x v="3"/>
    <s v="Mumbai Indians"/>
    <s v="Kolkata Knight Riders"/>
    <x v="6"/>
    <x v="0"/>
    <s v="normal"/>
    <x v="7"/>
    <n v="5"/>
    <n v="0"/>
    <s v="RK Illingworth"/>
    <s v="VA Kulkarni"/>
  </r>
  <r>
    <n v="568"/>
    <s v="Hyderabad"/>
    <x v="7"/>
    <d v="2015-05-15T00:00:00"/>
    <x v="104"/>
    <x v="6"/>
    <s v="Sunrisers Hyderabad"/>
    <s v="Royal Challengers Bangalore"/>
    <x v="10"/>
    <x v="1"/>
    <s v="normal"/>
    <x v="3"/>
    <n v="0"/>
    <n v="6"/>
    <s v="AK Chaudhary"/>
    <s v="HDPK Dharmasena"/>
  </r>
  <r>
    <n v="569"/>
    <s v="Chandigarh"/>
    <x v="7"/>
    <d v="2015-05-16T00:00:00"/>
    <x v="132"/>
    <x v="1"/>
    <s v="Kings XI Punjab"/>
    <s v="Chennai Super Kings"/>
    <x v="5"/>
    <x v="1"/>
    <s v="normal"/>
    <x v="1"/>
    <n v="0"/>
    <n v="7"/>
    <s v="CK Nandan"/>
    <s v="C Shamshuddin"/>
  </r>
  <r>
    <n v="570"/>
    <s v="Mumbai"/>
    <x v="7"/>
    <d v="2015-05-16T00:00:00"/>
    <x v="5"/>
    <x v="17"/>
    <s v="Rajasthan Royals"/>
    <s v="Kolkata Knight Riders"/>
    <x v="2"/>
    <x v="1"/>
    <s v="normal"/>
    <x v="4"/>
    <n v="9"/>
    <n v="0"/>
    <s v="RM Deshpande"/>
    <s v="RK Illingworth"/>
  </r>
  <r>
    <n v="571"/>
    <s v="Bangalore"/>
    <x v="7"/>
    <d v="2015-05-17T00:00:00"/>
    <x v="115"/>
    <x v="0"/>
    <s v="Delhi Daredevils"/>
    <s v="Royal Challengers Bangalore"/>
    <x v="0"/>
    <x v="0"/>
    <s v="no result"/>
    <x v="10"/>
    <n v="0"/>
    <n v="0"/>
    <s v="HDPK Dharmasena"/>
    <s v="K Srinivasan"/>
  </r>
  <r>
    <n v="572"/>
    <s v="Hyderabad"/>
    <x v="7"/>
    <d v="2015-05-17T00:00:00"/>
    <x v="175"/>
    <x v="6"/>
    <s v="Sunrisers Hyderabad"/>
    <s v="Mumbai Indians"/>
    <x v="10"/>
    <x v="1"/>
    <s v="normal"/>
    <x v="7"/>
    <n v="0"/>
    <n v="9"/>
    <s v="CB Gaffaney"/>
    <s v="K Srinath"/>
  </r>
  <r>
    <n v="573"/>
    <s v="Mumbai"/>
    <x v="7"/>
    <d v="2015-05-19T00:00:00"/>
    <x v="90"/>
    <x v="3"/>
    <s v="Mumbai Indians"/>
    <s v="Chennai Super Kings"/>
    <x v="3"/>
    <x v="1"/>
    <s v="normal"/>
    <x v="7"/>
    <n v="25"/>
    <n v="0"/>
    <s v="HDPK Dharmasena"/>
    <s v="RK Illingworth"/>
  </r>
  <r>
    <n v="574"/>
    <s v="Pune"/>
    <x v="7"/>
    <d v="2015-05-20T00:00:00"/>
    <x v="46"/>
    <x v="31"/>
    <s v="Royal Challengers Bangalore"/>
    <s v="Rajasthan Royals"/>
    <x v="0"/>
    <x v="1"/>
    <s v="normal"/>
    <x v="3"/>
    <n v="71"/>
    <n v="0"/>
    <s v="AK Chaudhary"/>
    <s v="C Shamshuddin"/>
  </r>
  <r>
    <n v="575"/>
    <s v="Ranchi"/>
    <x v="7"/>
    <d v="2015-05-22T00:00:00"/>
    <x v="23"/>
    <x v="27"/>
    <s v="Royal Challengers Bangalore"/>
    <s v="Chennai Super Kings"/>
    <x v="1"/>
    <x v="0"/>
    <s v="normal"/>
    <x v="1"/>
    <n v="0"/>
    <n v="3"/>
    <s v="AK Chaudhary"/>
    <s v="CB Gaffaney"/>
  </r>
  <r>
    <n v="576"/>
    <s v="Kolkata"/>
    <x v="7"/>
    <d v="2015-05-24T00:00:00"/>
    <x v="57"/>
    <x v="4"/>
    <s v="Mumbai Indians"/>
    <s v="Chennai Super Kings"/>
    <x v="1"/>
    <x v="0"/>
    <s v="normal"/>
    <x v="7"/>
    <n v="41"/>
    <n v="0"/>
    <s v="HDPK Dharmasena"/>
    <s v="RK Illingworth"/>
  </r>
  <r>
    <n v="577"/>
    <s v="Mumbai"/>
    <x v="8"/>
    <d v="2016-04-09T00:00:00"/>
    <x v="119"/>
    <x v="3"/>
    <s v="Mumbai Indians"/>
    <s v="Rising Pune Supergiant"/>
    <x v="3"/>
    <x v="1"/>
    <s v="normal"/>
    <x v="12"/>
    <n v="0"/>
    <n v="9"/>
    <s v="HDPK Dharmasena"/>
    <s v="CK Nandan"/>
  </r>
  <r>
    <n v="578"/>
    <s v="Kolkata"/>
    <x v="8"/>
    <d v="2016-04-10T00:00:00"/>
    <x v="164"/>
    <x v="4"/>
    <s v="Delhi Daredevils"/>
    <s v="Kolkata Knight Riders"/>
    <x v="6"/>
    <x v="0"/>
    <s v="normal"/>
    <x v="0"/>
    <n v="0"/>
    <n v="9"/>
    <s v="S Ravi"/>
    <s v="C Shamshuddin"/>
  </r>
  <r>
    <n v="579"/>
    <s v="Chandigarh"/>
    <x v="8"/>
    <d v="2016-04-11T00:00:00"/>
    <x v="140"/>
    <x v="32"/>
    <s v="Kings XI Punjab"/>
    <s v="Gujarat Lions"/>
    <x v="11"/>
    <x v="0"/>
    <s v="normal"/>
    <x v="13"/>
    <n v="0"/>
    <n v="5"/>
    <s v="AK Chaudhary"/>
    <s v="VA Kulkarni"/>
  </r>
  <r>
    <n v="580"/>
    <s v="Bangalore"/>
    <x v="8"/>
    <d v="2016-04-12T00:00:00"/>
    <x v="46"/>
    <x v="0"/>
    <s v="Royal Challengers Bangalore"/>
    <s v="Sunrisers Hyderabad"/>
    <x v="10"/>
    <x v="0"/>
    <s v="normal"/>
    <x v="3"/>
    <n v="45"/>
    <n v="0"/>
    <s v="HDPK Dharmasena"/>
    <s v="VK Sharma"/>
  </r>
  <r>
    <n v="581"/>
    <s v="Kolkata"/>
    <x v="8"/>
    <d v="2016-04-13T00:00:00"/>
    <x v="57"/>
    <x v="4"/>
    <s v="Kolkata Knight Riders"/>
    <s v="Mumbai Indians"/>
    <x v="3"/>
    <x v="0"/>
    <s v="normal"/>
    <x v="7"/>
    <n v="0"/>
    <n v="6"/>
    <s v="Nitin Menon"/>
    <s v="S Ravi"/>
  </r>
  <r>
    <n v="582"/>
    <s v="Rajkot"/>
    <x v="8"/>
    <d v="2016-04-14T00:00:00"/>
    <x v="140"/>
    <x v="33"/>
    <s v="Rising Pune Supergiant"/>
    <s v="Gujarat Lions"/>
    <x v="12"/>
    <x v="1"/>
    <s v="normal"/>
    <x v="13"/>
    <n v="0"/>
    <n v="7"/>
    <s v="VA Kulkarni"/>
    <s v="CK Nandan"/>
  </r>
  <r>
    <n v="583"/>
    <s v="Delhi"/>
    <x v="8"/>
    <d v="2016-04-15T00:00:00"/>
    <x v="28"/>
    <x v="2"/>
    <s v="Kings XI Punjab"/>
    <s v="Delhi Daredevils"/>
    <x v="7"/>
    <x v="0"/>
    <s v="normal"/>
    <x v="2"/>
    <n v="0"/>
    <n v="8"/>
    <s v="S Ravi"/>
    <s v="C Shamshuddin"/>
  </r>
  <r>
    <n v="584"/>
    <s v="Hyderabad"/>
    <x v="8"/>
    <d v="2016-04-16T00:00:00"/>
    <x v="56"/>
    <x v="6"/>
    <s v="Sunrisers Hyderabad"/>
    <s v="Kolkata Knight Riders"/>
    <x v="10"/>
    <x v="1"/>
    <s v="normal"/>
    <x v="0"/>
    <n v="0"/>
    <n v="8"/>
    <s v="AK Chaudhary"/>
    <s v="CK Nandan"/>
  </r>
  <r>
    <n v="585"/>
    <s v="Mumbai"/>
    <x v="8"/>
    <d v="2016-04-16T00:00:00"/>
    <x v="140"/>
    <x v="3"/>
    <s v="Mumbai Indians"/>
    <s v="Gujarat Lions"/>
    <x v="11"/>
    <x v="0"/>
    <s v="normal"/>
    <x v="13"/>
    <n v="0"/>
    <n v="3"/>
    <s v="HDPK Dharmasena"/>
    <s v="VK Sharma"/>
  </r>
  <r>
    <n v="586"/>
    <s v="Chandigarh"/>
    <x v="8"/>
    <d v="2016-04-17T00:00:00"/>
    <x v="138"/>
    <x v="32"/>
    <s v="Rising Pune Supergiant"/>
    <s v="Kings XI Punjab"/>
    <x v="12"/>
    <x v="1"/>
    <s v="normal"/>
    <x v="5"/>
    <n v="0"/>
    <n v="6"/>
    <s v="S Ravi"/>
    <s v="C Shamshuddin"/>
  </r>
  <r>
    <n v="587"/>
    <s v="Bangalore"/>
    <x v="8"/>
    <d v="2016-04-17T00:00:00"/>
    <x v="176"/>
    <x v="0"/>
    <s v="Royal Challengers Bangalore"/>
    <s v="Delhi Daredevils"/>
    <x v="7"/>
    <x v="0"/>
    <s v="normal"/>
    <x v="2"/>
    <n v="0"/>
    <n v="7"/>
    <s v="VA Kulkarni"/>
    <s v="A Nand Kishore"/>
  </r>
  <r>
    <n v="588"/>
    <s v="Hyderabad"/>
    <x v="8"/>
    <d v="2016-04-18T00:00:00"/>
    <x v="79"/>
    <x v="6"/>
    <s v="Mumbai Indians"/>
    <s v="Sunrisers Hyderabad"/>
    <x v="10"/>
    <x v="0"/>
    <s v="normal"/>
    <x v="11"/>
    <n v="0"/>
    <n v="7"/>
    <s v="HDPK Dharmasena"/>
    <s v="VK Sharma"/>
  </r>
  <r>
    <n v="589"/>
    <s v="Chandigarh"/>
    <x v="8"/>
    <d v="2016-04-19T00:00:00"/>
    <x v="75"/>
    <x v="32"/>
    <s v="Kings XI Punjab"/>
    <s v="Kolkata Knight Riders"/>
    <x v="6"/>
    <x v="0"/>
    <s v="normal"/>
    <x v="0"/>
    <n v="0"/>
    <n v="6"/>
    <s v="S Ravi"/>
    <s v="C Shamshuddin"/>
  </r>
  <r>
    <n v="590"/>
    <s v="Mumbai"/>
    <x v="8"/>
    <d v="2016-04-20T00:00:00"/>
    <x v="57"/>
    <x v="3"/>
    <s v="Royal Challengers Bangalore"/>
    <s v="Mumbai Indians"/>
    <x v="3"/>
    <x v="0"/>
    <s v="normal"/>
    <x v="7"/>
    <n v="0"/>
    <n v="6"/>
    <s v="AK Chaudhary"/>
    <s v="CK Nandan"/>
  </r>
  <r>
    <n v="591"/>
    <s v="Rajkot"/>
    <x v="8"/>
    <d v="2016-04-21T00:00:00"/>
    <x v="157"/>
    <x v="33"/>
    <s v="Gujarat Lions"/>
    <s v="Sunrisers Hyderabad"/>
    <x v="10"/>
    <x v="0"/>
    <s v="normal"/>
    <x v="11"/>
    <n v="0"/>
    <n v="10"/>
    <s v="K Bharatan"/>
    <s v="HDPK Dharmasena"/>
  </r>
  <r>
    <n v="592"/>
    <s v="Pune"/>
    <x v="8"/>
    <d v="2016-04-22T00:00:00"/>
    <x v="46"/>
    <x v="31"/>
    <s v="Royal Challengers Bangalore"/>
    <s v="Rising Pune Supergiant"/>
    <x v="12"/>
    <x v="0"/>
    <s v="normal"/>
    <x v="3"/>
    <n v="13"/>
    <n v="0"/>
    <s v="CB Gaffaney"/>
    <s v="VK Sharma"/>
  </r>
  <r>
    <n v="593"/>
    <s v="Delhi"/>
    <x v="8"/>
    <d v="2016-04-23T00:00:00"/>
    <x v="144"/>
    <x v="2"/>
    <s v="Delhi Daredevils"/>
    <s v="Mumbai Indians"/>
    <x v="3"/>
    <x v="0"/>
    <s v="normal"/>
    <x v="2"/>
    <n v="10"/>
    <n v="0"/>
    <s v="S Ravi"/>
    <s v="C Shamshuddin"/>
  </r>
  <r>
    <n v="594"/>
    <s v="Hyderabad"/>
    <x v="8"/>
    <d v="2016-04-23T00:00:00"/>
    <x v="177"/>
    <x v="6"/>
    <s v="Kings XI Punjab"/>
    <s v="Sunrisers Hyderabad"/>
    <x v="10"/>
    <x v="0"/>
    <s v="normal"/>
    <x v="11"/>
    <n v="0"/>
    <n v="5"/>
    <s v="AK Chaudhary"/>
    <s v="CK Nandan"/>
  </r>
  <r>
    <n v="595"/>
    <s v="Rajkot"/>
    <x v="8"/>
    <d v="2016-04-24T00:00:00"/>
    <x v="104"/>
    <x v="33"/>
    <s v="Royal Challengers Bangalore"/>
    <s v="Gujarat Lions"/>
    <x v="0"/>
    <x v="1"/>
    <s v="normal"/>
    <x v="13"/>
    <n v="0"/>
    <n v="6"/>
    <s v="K Bharatan"/>
    <s v="BNJ Oxenford"/>
  </r>
  <r>
    <n v="596"/>
    <s v="Pune"/>
    <x v="8"/>
    <d v="2016-04-24T00:00:00"/>
    <x v="178"/>
    <x v="31"/>
    <s v="Rising Pune Supergiant"/>
    <s v="Kolkata Knight Riders"/>
    <x v="6"/>
    <x v="0"/>
    <s v="normal"/>
    <x v="0"/>
    <n v="0"/>
    <n v="2"/>
    <s v="CB Gaffaney"/>
    <s v="A Nand Kishore"/>
  </r>
  <r>
    <n v="597"/>
    <s v="Chandigarh"/>
    <x v="8"/>
    <d v="2016-04-25T00:00:00"/>
    <x v="148"/>
    <x v="32"/>
    <s v="Mumbai Indians"/>
    <s v="Kings XI Punjab"/>
    <x v="5"/>
    <x v="0"/>
    <s v="normal"/>
    <x v="7"/>
    <n v="25"/>
    <n v="0"/>
    <s v="Nitin Menon"/>
    <s v="RJ Tucker"/>
  </r>
  <r>
    <n v="598"/>
    <s v="Hyderabad"/>
    <x v="8"/>
    <d v="2016-04-26T00:00:00"/>
    <x v="179"/>
    <x v="6"/>
    <s v="Sunrisers Hyderabad"/>
    <s v="Rising Pune Supergiant"/>
    <x v="12"/>
    <x v="0"/>
    <s v="normal"/>
    <x v="12"/>
    <n v="34"/>
    <n v="0"/>
    <s v="AY Dandekar"/>
    <s v="CK Nandan"/>
  </r>
  <r>
    <n v="599"/>
    <s v="Delhi"/>
    <x v="8"/>
    <d v="2016-04-27T00:00:00"/>
    <x v="180"/>
    <x v="2"/>
    <s v="Gujarat Lions"/>
    <s v="Delhi Daredevils"/>
    <x v="7"/>
    <x v="0"/>
    <s v="normal"/>
    <x v="13"/>
    <n v="1"/>
    <n v="0"/>
    <s v="M Erasmus"/>
    <s v="S Ravi"/>
  </r>
  <r>
    <n v="600"/>
    <s v="Mumbai"/>
    <x v="8"/>
    <d v="2016-04-28T00:00:00"/>
    <x v="57"/>
    <x v="3"/>
    <s v="Kolkata Knight Riders"/>
    <s v="Mumbai Indians"/>
    <x v="3"/>
    <x v="0"/>
    <s v="normal"/>
    <x v="7"/>
    <n v="0"/>
    <n v="6"/>
    <s v="Nitin Menon"/>
    <s v="RJ Tucker"/>
  </r>
  <r>
    <n v="601"/>
    <s v="Pune"/>
    <x v="8"/>
    <d v="2016-04-29T00:00:00"/>
    <x v="60"/>
    <x v="31"/>
    <s v="Rising Pune Supergiant"/>
    <s v="Gujarat Lions"/>
    <x v="11"/>
    <x v="0"/>
    <s v="normal"/>
    <x v="13"/>
    <n v="0"/>
    <n v="3"/>
    <s v="CB Gaffaney"/>
    <s v="BNJ Oxenford"/>
  </r>
  <r>
    <n v="602"/>
    <s v="Delhi"/>
    <x v="8"/>
    <d v="2016-04-30T00:00:00"/>
    <x v="181"/>
    <x v="2"/>
    <s v="Delhi Daredevils"/>
    <s v="Kolkata Knight Riders"/>
    <x v="6"/>
    <x v="0"/>
    <s v="normal"/>
    <x v="2"/>
    <n v="27"/>
    <n v="0"/>
    <s v="KN Ananthapadmanabhan"/>
    <s v="M Erasmus"/>
  </r>
  <r>
    <n v="603"/>
    <s v="Hyderabad"/>
    <x v="8"/>
    <d v="2016-04-30T00:00:00"/>
    <x v="79"/>
    <x v="6"/>
    <s v="Sunrisers Hyderabad"/>
    <s v="Royal Challengers Bangalore"/>
    <x v="0"/>
    <x v="0"/>
    <s v="normal"/>
    <x v="11"/>
    <n v="15"/>
    <n v="0"/>
    <s v="AK Chaudhary"/>
    <s v="HDPK Dharmasena"/>
  </r>
  <r>
    <n v="604"/>
    <s v="Rajkot"/>
    <x v="8"/>
    <d v="2016-05-01T00:00:00"/>
    <x v="160"/>
    <x v="33"/>
    <s v="Kings XI Punjab"/>
    <s v="Gujarat Lions"/>
    <x v="11"/>
    <x v="0"/>
    <s v="normal"/>
    <x v="5"/>
    <n v="23"/>
    <n v="0"/>
    <s v="BNJ Oxenford"/>
    <s v="VK Sharma"/>
  </r>
  <r>
    <n v="605"/>
    <s v="Pune"/>
    <x v="8"/>
    <d v="2016-05-01T00:00:00"/>
    <x v="57"/>
    <x v="31"/>
    <s v="Rising Pune Supergiant"/>
    <s v="Mumbai Indians"/>
    <x v="3"/>
    <x v="0"/>
    <s v="normal"/>
    <x v="7"/>
    <n v="0"/>
    <n v="8"/>
    <s v="AY Dandekar"/>
    <s v="RJ Tucker"/>
  </r>
  <r>
    <n v="606"/>
    <s v="Bangalore"/>
    <x v="8"/>
    <d v="2016-05-02T00:00:00"/>
    <x v="164"/>
    <x v="0"/>
    <s v="Royal Challengers Bangalore"/>
    <s v="Kolkata Knight Riders"/>
    <x v="6"/>
    <x v="0"/>
    <s v="normal"/>
    <x v="0"/>
    <n v="0"/>
    <n v="5"/>
    <s v="M Erasmus"/>
    <s v="S Ravi"/>
  </r>
  <r>
    <n v="607"/>
    <s v="Rajkot"/>
    <x v="8"/>
    <d v="2016-05-03T00:00:00"/>
    <x v="182"/>
    <x v="33"/>
    <s v="Gujarat Lions"/>
    <s v="Delhi Daredevils"/>
    <x v="7"/>
    <x v="0"/>
    <s v="normal"/>
    <x v="2"/>
    <n v="0"/>
    <n v="8"/>
    <s v="CB Gaffaney"/>
    <s v="BNJ Oxenford"/>
  </r>
  <r>
    <n v="608"/>
    <s v="Kolkata"/>
    <x v="8"/>
    <d v="2016-05-04T00:00:00"/>
    <x v="164"/>
    <x v="4"/>
    <s v="Kolkata Knight Riders"/>
    <s v="Kings XI Punjab"/>
    <x v="5"/>
    <x v="0"/>
    <s v="normal"/>
    <x v="0"/>
    <n v="7"/>
    <n v="0"/>
    <s v="AK Chaudhary"/>
    <s v="HDPK Dharmasena"/>
  </r>
  <r>
    <n v="609"/>
    <s v="Delhi"/>
    <x v="8"/>
    <d v="2016-05-05T00:00:00"/>
    <x v="119"/>
    <x v="2"/>
    <s v="Delhi Daredevils"/>
    <s v="Rising Pune Supergiant"/>
    <x v="12"/>
    <x v="0"/>
    <s v="normal"/>
    <x v="12"/>
    <n v="0"/>
    <n v="7"/>
    <s v="C Shamshuddin"/>
    <s v="RJ Tucker"/>
  </r>
  <r>
    <n v="610"/>
    <s v="Hyderabad"/>
    <x v="8"/>
    <d v="2016-05-06T00:00:00"/>
    <x v="157"/>
    <x v="6"/>
    <s v="Gujarat Lions"/>
    <s v="Sunrisers Hyderabad"/>
    <x v="10"/>
    <x v="0"/>
    <s v="normal"/>
    <x v="11"/>
    <n v="0"/>
    <n v="5"/>
    <s v="M Erasmus"/>
    <s v="S Ravi"/>
  </r>
  <r>
    <n v="611"/>
    <s v="Bangalore"/>
    <x v="8"/>
    <d v="2016-05-07T00:00:00"/>
    <x v="104"/>
    <x v="0"/>
    <s v="Rising Pune Supergiant"/>
    <s v="Royal Challengers Bangalore"/>
    <x v="0"/>
    <x v="0"/>
    <s v="normal"/>
    <x v="3"/>
    <n v="0"/>
    <n v="7"/>
    <s v="CB Gaffaney"/>
    <s v="BNJ Oxenford"/>
  </r>
  <r>
    <n v="612"/>
    <s v="Chandigarh"/>
    <x v="8"/>
    <d v="2016-05-07T00:00:00"/>
    <x v="183"/>
    <x v="32"/>
    <s v="Kings XI Punjab"/>
    <s v="Delhi Daredevils"/>
    <x v="7"/>
    <x v="0"/>
    <s v="normal"/>
    <x v="5"/>
    <n v="9"/>
    <n v="0"/>
    <s v="HDPK Dharmasena"/>
    <s v="CK Nandan"/>
  </r>
  <r>
    <n v="613"/>
    <s v="Visakhapatnam"/>
    <x v="8"/>
    <d v="2016-05-08T00:00:00"/>
    <x v="23"/>
    <x v="24"/>
    <s v="Sunrisers Hyderabad"/>
    <s v="Mumbai Indians"/>
    <x v="3"/>
    <x v="0"/>
    <s v="normal"/>
    <x v="11"/>
    <n v="85"/>
    <n v="0"/>
    <s v="S Ravi"/>
    <s v="C Shamshuddin"/>
  </r>
  <r>
    <n v="614"/>
    <s v="Kolkata"/>
    <x v="8"/>
    <d v="2016-05-08T00:00:00"/>
    <x v="37"/>
    <x v="4"/>
    <s v="Kolkata Knight Riders"/>
    <s v="Gujarat Lions"/>
    <x v="11"/>
    <x v="0"/>
    <s v="normal"/>
    <x v="13"/>
    <n v="0"/>
    <n v="5"/>
    <s v="M Erasmus"/>
    <s v="RJ Tucker"/>
  </r>
  <r>
    <n v="615"/>
    <s v="Chandigarh"/>
    <x v="8"/>
    <d v="2016-05-09T00:00:00"/>
    <x v="5"/>
    <x v="32"/>
    <s v="Royal Challengers Bangalore"/>
    <s v="Kings XI Punjab"/>
    <x v="5"/>
    <x v="0"/>
    <s v="normal"/>
    <x v="3"/>
    <n v="1"/>
    <n v="0"/>
    <s v="AK Chaudhary"/>
    <s v="HDPK Dharmasena"/>
  </r>
  <r>
    <n v="616"/>
    <s v="Visakhapatnam"/>
    <x v="8"/>
    <d v="2016-05-10T00:00:00"/>
    <x v="184"/>
    <x v="24"/>
    <s v="Sunrisers Hyderabad"/>
    <s v="Rising Pune Supergiant"/>
    <x v="10"/>
    <x v="1"/>
    <s v="normal"/>
    <x v="11"/>
    <n v="4"/>
    <n v="0"/>
    <s v="CB Gaffaney"/>
    <s v="VK Sharma"/>
  </r>
  <r>
    <n v="617"/>
    <s v="Bangalore"/>
    <x v="8"/>
    <d v="2016-05-11T00:00:00"/>
    <x v="185"/>
    <x v="0"/>
    <s v="Royal Challengers Bangalore"/>
    <s v="Mumbai Indians"/>
    <x v="3"/>
    <x v="0"/>
    <s v="normal"/>
    <x v="7"/>
    <n v="0"/>
    <n v="6"/>
    <s v="AY Dandekar"/>
    <s v="C Shamshuddin"/>
  </r>
  <r>
    <n v="618"/>
    <s v="Hyderabad"/>
    <x v="8"/>
    <d v="2016-05-12T00:00:00"/>
    <x v="180"/>
    <x v="6"/>
    <s v="Sunrisers Hyderabad"/>
    <s v="Delhi Daredevils"/>
    <x v="7"/>
    <x v="0"/>
    <s v="normal"/>
    <x v="2"/>
    <n v="0"/>
    <n v="7"/>
    <s v="K Bharatan"/>
    <s v="M Erasmus"/>
  </r>
  <r>
    <n v="619"/>
    <s v="Visakhapatnam"/>
    <x v="8"/>
    <d v="2016-05-13T00:00:00"/>
    <x v="183"/>
    <x v="24"/>
    <s v="Mumbai Indians"/>
    <s v="Kings XI Punjab"/>
    <x v="3"/>
    <x v="1"/>
    <s v="normal"/>
    <x v="5"/>
    <n v="0"/>
    <n v="7"/>
    <s v="HDPK Dharmasena"/>
    <s v="CK Nandan"/>
  </r>
  <r>
    <n v="620"/>
    <s v="Bangalore"/>
    <x v="8"/>
    <d v="2016-05-14T00:00:00"/>
    <x v="46"/>
    <x v="0"/>
    <s v="Royal Challengers Bangalore"/>
    <s v="Gujarat Lions"/>
    <x v="11"/>
    <x v="0"/>
    <s v="normal"/>
    <x v="3"/>
    <n v="144"/>
    <n v="0"/>
    <s v="AY Dandekar"/>
    <s v="VK Sharma"/>
  </r>
  <r>
    <n v="621"/>
    <s v="Kolkata"/>
    <x v="8"/>
    <d v="2016-05-14T00:00:00"/>
    <x v="8"/>
    <x v="4"/>
    <s v="Rising Pune Supergiant"/>
    <s v="Kolkata Knight Riders"/>
    <x v="12"/>
    <x v="1"/>
    <s v="normal"/>
    <x v="0"/>
    <n v="0"/>
    <n v="8"/>
    <s v="A Nand Kishore"/>
    <s v="BNJ Oxenford"/>
  </r>
  <r>
    <n v="622"/>
    <s v="Chandigarh"/>
    <x v="8"/>
    <d v="2016-05-15T00:00:00"/>
    <x v="186"/>
    <x v="32"/>
    <s v="Kings XI Punjab"/>
    <s v="Sunrisers Hyderabad"/>
    <x v="5"/>
    <x v="1"/>
    <s v="normal"/>
    <x v="11"/>
    <n v="0"/>
    <n v="7"/>
    <s v="KN Ananthapadmanabhan"/>
    <s v="M Erasmus"/>
  </r>
  <r>
    <n v="623"/>
    <s v="Visakhapatnam"/>
    <x v="8"/>
    <d v="2016-05-15T00:00:00"/>
    <x v="185"/>
    <x v="24"/>
    <s v="Mumbai Indians"/>
    <s v="Delhi Daredevils"/>
    <x v="7"/>
    <x v="0"/>
    <s v="normal"/>
    <x v="7"/>
    <n v="80"/>
    <n v="0"/>
    <s v="Nitin Menon"/>
    <s v="CK Nandan"/>
  </r>
  <r>
    <n v="624"/>
    <s v="Kolkata"/>
    <x v="8"/>
    <d v="2016-05-16T00:00:00"/>
    <x v="104"/>
    <x v="4"/>
    <s v="Kolkata Knight Riders"/>
    <s v="Royal Challengers Bangalore"/>
    <x v="0"/>
    <x v="0"/>
    <s v="normal"/>
    <x v="3"/>
    <n v="0"/>
    <n v="9"/>
    <s v="CB Gaffaney"/>
    <s v="A Nand Kishore"/>
  </r>
  <r>
    <n v="625"/>
    <s v="Visakhapatnam"/>
    <x v="8"/>
    <d v="2016-05-17T00:00:00"/>
    <x v="179"/>
    <x v="24"/>
    <s v="Delhi Daredevils"/>
    <s v="Rising Pune Supergiant"/>
    <x v="12"/>
    <x v="0"/>
    <s v="normal"/>
    <x v="12"/>
    <n v="19"/>
    <n v="0"/>
    <s v="Nitin Menon"/>
    <s v="C Shamshuddin"/>
  </r>
  <r>
    <n v="626"/>
    <s v="Bangalore"/>
    <x v="8"/>
    <d v="2016-05-18T00:00:00"/>
    <x v="104"/>
    <x v="0"/>
    <s v="Royal Challengers Bangalore"/>
    <s v="Kings XI Punjab"/>
    <x v="5"/>
    <x v="0"/>
    <s v="normal"/>
    <x v="3"/>
    <n v="82"/>
    <n v="0"/>
    <s v="KN Ananthapadmanabhan"/>
    <s v="M Erasmus"/>
  </r>
  <r>
    <n v="627"/>
    <s v="Kanpur"/>
    <x v="8"/>
    <d v="2016-05-19T00:00:00"/>
    <x v="60"/>
    <x v="34"/>
    <s v="Kolkata Knight Riders"/>
    <s v="Gujarat Lions"/>
    <x v="11"/>
    <x v="0"/>
    <s v="normal"/>
    <x v="13"/>
    <n v="0"/>
    <n v="6"/>
    <s v="AK Chaudhary"/>
    <s v="CK Nandan"/>
  </r>
  <r>
    <n v="628"/>
    <s v="Raipur"/>
    <x v="8"/>
    <d v="2016-05-20T00:00:00"/>
    <x v="159"/>
    <x v="26"/>
    <s v="Sunrisers Hyderabad"/>
    <s v="Delhi Daredevils"/>
    <x v="7"/>
    <x v="0"/>
    <s v="normal"/>
    <x v="2"/>
    <n v="0"/>
    <n v="6"/>
    <s v="A Nand Kishore"/>
    <s v="BNJ Oxenford"/>
  </r>
  <r>
    <n v="629"/>
    <s v="Visakhapatnam"/>
    <x v="8"/>
    <d v="2016-05-21T00:00:00"/>
    <x v="13"/>
    <x v="24"/>
    <s v="Kings XI Punjab"/>
    <s v="Rising Pune Supergiant"/>
    <x v="5"/>
    <x v="1"/>
    <s v="normal"/>
    <x v="12"/>
    <n v="0"/>
    <n v="4"/>
    <s v="HDPK Dharmasena"/>
    <s v="Nitin Menon"/>
  </r>
  <r>
    <n v="630"/>
    <s v="Kanpur"/>
    <x v="8"/>
    <d v="2016-05-21T00:00:00"/>
    <x v="39"/>
    <x v="34"/>
    <s v="Mumbai Indians"/>
    <s v="Gujarat Lions"/>
    <x v="11"/>
    <x v="0"/>
    <s v="normal"/>
    <x v="13"/>
    <n v="0"/>
    <n v="6"/>
    <s v="AK Chaudhary"/>
    <s v="CK Nandan"/>
  </r>
  <r>
    <n v="631"/>
    <s v="Kolkata"/>
    <x v="8"/>
    <d v="2016-05-22T00:00:00"/>
    <x v="8"/>
    <x v="4"/>
    <s v="Kolkata Knight Riders"/>
    <s v="Sunrisers Hyderabad"/>
    <x v="10"/>
    <x v="0"/>
    <s v="normal"/>
    <x v="0"/>
    <n v="22"/>
    <n v="0"/>
    <s v="KN Ananthapadmanabhan"/>
    <s v="M Erasmus"/>
  </r>
  <r>
    <n v="632"/>
    <s v="Raipur"/>
    <x v="8"/>
    <d v="2016-05-22T00:00:00"/>
    <x v="104"/>
    <x v="26"/>
    <s v="Delhi Daredevils"/>
    <s v="Royal Challengers Bangalore"/>
    <x v="0"/>
    <x v="0"/>
    <s v="normal"/>
    <x v="3"/>
    <n v="0"/>
    <n v="6"/>
    <s v="A Nand Kishore"/>
    <s v="BNJ Oxenford"/>
  </r>
  <r>
    <n v="633"/>
    <s v="Bangalore"/>
    <x v="8"/>
    <d v="2016-05-24T00:00:00"/>
    <x v="46"/>
    <x v="0"/>
    <s v="Gujarat Lions"/>
    <s v="Royal Challengers Bangalore"/>
    <x v="0"/>
    <x v="0"/>
    <s v="normal"/>
    <x v="3"/>
    <n v="0"/>
    <n v="4"/>
    <s v="AK Chaudhary"/>
    <s v="HDPK Dharmasena"/>
  </r>
  <r>
    <n v="634"/>
    <s v="Delhi"/>
    <x v="8"/>
    <d v="2016-05-25T00:00:00"/>
    <x v="173"/>
    <x v="2"/>
    <s v="Sunrisers Hyderabad"/>
    <s v="Kolkata Knight Riders"/>
    <x v="6"/>
    <x v="0"/>
    <s v="normal"/>
    <x v="11"/>
    <n v="22"/>
    <n v="0"/>
    <s v="M Erasmus"/>
    <s v="C Shamshuddin"/>
  </r>
  <r>
    <n v="635"/>
    <s v="Delhi"/>
    <x v="8"/>
    <d v="2016-05-27T00:00:00"/>
    <x v="79"/>
    <x v="2"/>
    <s v="Gujarat Lions"/>
    <s v="Sunrisers Hyderabad"/>
    <x v="10"/>
    <x v="0"/>
    <s v="normal"/>
    <x v="11"/>
    <n v="0"/>
    <n v="4"/>
    <s v="M Erasmus"/>
    <s v="CK Nandan"/>
  </r>
  <r>
    <n v="636"/>
    <s v="Bangalore"/>
    <x v="8"/>
    <d v="2016-05-29T00:00:00"/>
    <x v="187"/>
    <x v="0"/>
    <s v="Sunrisers Hyderabad"/>
    <s v="Royal Challengers Bangalore"/>
    <x v="10"/>
    <x v="1"/>
    <s v="normal"/>
    <x v="11"/>
    <n v="8"/>
    <n v="0"/>
    <s v="HDPK Dharmasena"/>
    <s v="BNJ Oxenford"/>
  </r>
  <r>
    <n v="1"/>
    <s v="Hyderabad"/>
    <x v="9"/>
    <d v="2017-04-05T00:00:00"/>
    <x v="53"/>
    <x v="6"/>
    <s v="Sunrisers Hyderabad"/>
    <s v="Royal Challengers Bangalore"/>
    <x v="0"/>
    <x v="0"/>
    <s v="normal"/>
    <x v="11"/>
    <n v="35"/>
    <n v="0"/>
    <s v="AY Dandekar"/>
    <s v="NJ Llong"/>
  </r>
  <r>
    <n v="2"/>
    <s v="Pune"/>
    <x v="9"/>
    <d v="2017-04-06T00:00:00"/>
    <x v="118"/>
    <x v="31"/>
    <s v="Mumbai Indians"/>
    <s v="Rising Pune Supergiant"/>
    <x v="12"/>
    <x v="0"/>
    <s v="normal"/>
    <x v="12"/>
    <n v="0"/>
    <n v="7"/>
    <s v="A Nand Kishore"/>
    <s v="S Ravi"/>
  </r>
  <r>
    <n v="3"/>
    <s v="Rajkot"/>
    <x v="9"/>
    <d v="2017-04-07T00:00:00"/>
    <x v="153"/>
    <x v="33"/>
    <s v="Gujarat Lions"/>
    <s v="Kolkata Knight Riders"/>
    <x v="6"/>
    <x v="0"/>
    <s v="normal"/>
    <x v="0"/>
    <n v="0"/>
    <n v="10"/>
    <s v="Nitin Menon"/>
    <s v="CK Nandan"/>
  </r>
  <r>
    <n v="4"/>
    <s v="Indore"/>
    <x v="9"/>
    <d v="2017-04-08T00:00:00"/>
    <x v="152"/>
    <x v="23"/>
    <s v="Rising Pune Supergiant"/>
    <s v="Kings XI Punjab"/>
    <x v="5"/>
    <x v="0"/>
    <s v="normal"/>
    <x v="5"/>
    <n v="0"/>
    <n v="6"/>
    <s v="AK Chaudhary"/>
    <s v="C Shamshuddin"/>
  </r>
  <r>
    <n v="5"/>
    <s v="Bangalore"/>
    <x v="9"/>
    <d v="2017-04-08T00:00:00"/>
    <x v="77"/>
    <x v="0"/>
    <s v="Royal Challengers Bangalore"/>
    <s v="Delhi Daredevils"/>
    <x v="0"/>
    <x v="1"/>
    <s v="normal"/>
    <x v="3"/>
    <n v="15"/>
    <n v="0"/>
    <m/>
    <m/>
  </r>
  <r>
    <n v="6"/>
    <s v="Hyderabad"/>
    <x v="9"/>
    <d v="2017-04-09T00:00:00"/>
    <x v="188"/>
    <x v="6"/>
    <s v="Gujarat Lions"/>
    <s v="Sunrisers Hyderabad"/>
    <x v="10"/>
    <x v="0"/>
    <s v="normal"/>
    <x v="11"/>
    <n v="0"/>
    <n v="9"/>
    <s v="A Deshmukh"/>
    <s v="NJ Llong"/>
  </r>
  <r>
    <n v="7"/>
    <s v="Mumbai"/>
    <x v="9"/>
    <d v="2017-04-09T00:00:00"/>
    <x v="189"/>
    <x v="3"/>
    <s v="Kolkata Knight Riders"/>
    <s v="Mumbai Indians"/>
    <x v="3"/>
    <x v="0"/>
    <s v="normal"/>
    <x v="7"/>
    <n v="0"/>
    <n v="4"/>
    <s v="Nitin Menon"/>
    <s v="CK Nandan"/>
  </r>
  <r>
    <n v="8"/>
    <s v="Indore"/>
    <x v="9"/>
    <d v="2017-04-10T00:00:00"/>
    <x v="160"/>
    <x v="23"/>
    <s v="Royal Challengers Bangalore"/>
    <s v="Kings XI Punjab"/>
    <x v="0"/>
    <x v="1"/>
    <s v="normal"/>
    <x v="5"/>
    <n v="0"/>
    <n v="8"/>
    <s v="AK Chaudhary"/>
    <s v="C Shamshuddin"/>
  </r>
  <r>
    <n v="9"/>
    <s v="Pune"/>
    <x v="9"/>
    <d v="2017-04-11T00:00:00"/>
    <x v="144"/>
    <x v="31"/>
    <s v="Delhi Daredevils"/>
    <s v="Rising Pune Supergiant"/>
    <x v="12"/>
    <x v="0"/>
    <s v="normal"/>
    <x v="2"/>
    <n v="97"/>
    <n v="0"/>
    <s v="AY Dandekar"/>
    <s v="S Ravi"/>
  </r>
  <r>
    <n v="10"/>
    <s v="Mumbai"/>
    <x v="9"/>
    <d v="2017-04-12T00:00:00"/>
    <x v="190"/>
    <x v="3"/>
    <s v="Sunrisers Hyderabad"/>
    <s v="Mumbai Indians"/>
    <x v="3"/>
    <x v="0"/>
    <s v="normal"/>
    <x v="7"/>
    <n v="0"/>
    <n v="4"/>
    <s v="Nitin Menon"/>
    <s v="CK Nandan"/>
  </r>
  <r>
    <n v="11"/>
    <s v="Kolkata"/>
    <x v="9"/>
    <d v="2017-04-13T00:00:00"/>
    <x v="127"/>
    <x v="4"/>
    <s v="Kings XI Punjab"/>
    <s v="Kolkata Knight Riders"/>
    <x v="6"/>
    <x v="0"/>
    <s v="normal"/>
    <x v="0"/>
    <n v="0"/>
    <n v="8"/>
    <s v="A Deshmukh"/>
    <s v="NJ Llong"/>
  </r>
  <r>
    <n v="12"/>
    <s v="Bangalore"/>
    <x v="9"/>
    <d v="2017-04-14T00:00:00"/>
    <x v="90"/>
    <x v="0"/>
    <s v="Royal Challengers Bangalore"/>
    <s v="Mumbai Indians"/>
    <x v="3"/>
    <x v="0"/>
    <s v="normal"/>
    <x v="7"/>
    <n v="0"/>
    <n v="4"/>
    <s v="KN Ananthapadmanabhan"/>
    <s v="AK Chaudhary"/>
  </r>
  <r>
    <n v="13"/>
    <s v="Rajkot"/>
    <x v="9"/>
    <d v="2017-04-14T00:00:00"/>
    <x v="191"/>
    <x v="33"/>
    <s v="Rising Pune Supergiant"/>
    <s v="Gujarat Lions"/>
    <x v="11"/>
    <x v="0"/>
    <s v="normal"/>
    <x v="13"/>
    <n v="0"/>
    <n v="7"/>
    <s v="A Nand Kishore"/>
    <s v="S Ravi"/>
  </r>
  <r>
    <n v="14"/>
    <s v="Kolkata"/>
    <x v="9"/>
    <d v="2017-04-15T00:00:00"/>
    <x v="75"/>
    <x v="4"/>
    <s v="Kolkata Knight Riders"/>
    <s v="Sunrisers Hyderabad"/>
    <x v="10"/>
    <x v="0"/>
    <s v="normal"/>
    <x v="0"/>
    <n v="17"/>
    <n v="0"/>
    <s v="AY Dandekar"/>
    <s v="NJ Llong"/>
  </r>
  <r>
    <n v="15"/>
    <s v="Delhi"/>
    <x v="9"/>
    <d v="2017-04-15T00:00:00"/>
    <x v="158"/>
    <x v="2"/>
    <s v="Delhi Daredevils"/>
    <s v="Kings XI Punjab"/>
    <x v="7"/>
    <x v="1"/>
    <s v="normal"/>
    <x v="2"/>
    <n v="51"/>
    <n v="0"/>
    <s v="YC Barde"/>
    <s v="Nitin Menon"/>
  </r>
  <r>
    <n v="16"/>
    <s v="Mumbai"/>
    <x v="9"/>
    <d v="2017-04-16T00:00:00"/>
    <x v="189"/>
    <x v="3"/>
    <s v="Gujarat Lions"/>
    <s v="Mumbai Indians"/>
    <x v="3"/>
    <x v="0"/>
    <s v="normal"/>
    <x v="7"/>
    <n v="0"/>
    <n v="6"/>
    <s v="A Nand Kishore"/>
    <s v="S Ravi"/>
  </r>
  <r>
    <n v="17"/>
    <s v="Bangalore"/>
    <x v="9"/>
    <d v="2017-04-16T00:00:00"/>
    <x v="192"/>
    <x v="0"/>
    <s v="Rising Pune Supergiant"/>
    <s v="Royal Challengers Bangalore"/>
    <x v="0"/>
    <x v="0"/>
    <s v="normal"/>
    <x v="12"/>
    <n v="27"/>
    <n v="0"/>
    <s v="KN Ananthapadmanabhan"/>
    <s v="C Shamshuddin"/>
  </r>
  <r>
    <n v="18"/>
    <s v="Delhi"/>
    <x v="9"/>
    <d v="2017-04-17T00:00:00"/>
    <x v="170"/>
    <x v="2"/>
    <s v="Delhi Daredevils"/>
    <s v="Kolkata Knight Riders"/>
    <x v="7"/>
    <x v="1"/>
    <s v="normal"/>
    <x v="0"/>
    <n v="0"/>
    <n v="4"/>
    <s v="Nitin Menon"/>
    <s v="CK Nandan"/>
  </r>
  <r>
    <n v="19"/>
    <s v="Hyderabad"/>
    <x v="9"/>
    <d v="2017-04-17T00:00:00"/>
    <x v="157"/>
    <x v="6"/>
    <s v="Sunrisers Hyderabad"/>
    <s v="Kings XI Punjab"/>
    <x v="5"/>
    <x v="0"/>
    <s v="normal"/>
    <x v="11"/>
    <n v="5"/>
    <n v="0"/>
    <s v="AY Dandekar"/>
    <s v="A Deshmukh"/>
  </r>
  <r>
    <n v="20"/>
    <s v="Rajkot"/>
    <x v="9"/>
    <d v="2017-04-18T00:00:00"/>
    <x v="45"/>
    <x v="33"/>
    <s v="Royal Challengers Bangalore"/>
    <s v="Gujarat Lions"/>
    <x v="11"/>
    <x v="0"/>
    <s v="normal"/>
    <x v="3"/>
    <n v="21"/>
    <n v="0"/>
    <s v="S Ravi"/>
    <s v="VK Sharma"/>
  </r>
  <r>
    <n v="21"/>
    <s v="Hyderabad"/>
    <x v="9"/>
    <d v="2017-04-19T00:00:00"/>
    <x v="193"/>
    <x v="6"/>
    <s v="Sunrisers Hyderabad"/>
    <s v="Delhi Daredevils"/>
    <x v="10"/>
    <x v="1"/>
    <s v="normal"/>
    <x v="11"/>
    <n v="15"/>
    <n v="0"/>
    <s v="CB Gaffaney"/>
    <s v="NJ Llong"/>
  </r>
  <r>
    <n v="22"/>
    <s v="Indore"/>
    <x v="9"/>
    <d v="2017-04-20T00:00:00"/>
    <x v="194"/>
    <x v="23"/>
    <s v="Kings XI Punjab"/>
    <s v="Mumbai Indians"/>
    <x v="3"/>
    <x v="0"/>
    <s v="normal"/>
    <x v="7"/>
    <n v="0"/>
    <n v="8"/>
    <s v="M Erasmus"/>
    <s v="C Shamshuddin"/>
  </r>
  <r>
    <n v="23"/>
    <s v="Kolkata"/>
    <x v="9"/>
    <d v="2017-04-21T00:00:00"/>
    <x v="39"/>
    <x v="4"/>
    <s v="Kolkata Knight Riders"/>
    <s v="Gujarat Lions"/>
    <x v="11"/>
    <x v="0"/>
    <s v="normal"/>
    <x v="13"/>
    <n v="0"/>
    <n v="4"/>
    <s v="CB Gaffaney"/>
    <s v="Nitin Menon"/>
  </r>
  <r>
    <n v="24"/>
    <s v="Mumbai"/>
    <x v="9"/>
    <d v="2017-04-22T00:00:00"/>
    <x v="175"/>
    <x v="3"/>
    <s v="Mumbai Indians"/>
    <s v="Delhi Daredevils"/>
    <x v="7"/>
    <x v="0"/>
    <s v="normal"/>
    <x v="7"/>
    <n v="14"/>
    <n v="0"/>
    <s v="A Nand Kishore"/>
    <s v="S Ravi"/>
  </r>
  <r>
    <n v="25"/>
    <s v="Pune"/>
    <x v="9"/>
    <d v="2017-04-22T00:00:00"/>
    <x v="13"/>
    <x v="31"/>
    <s v="Sunrisers Hyderabad"/>
    <s v="Rising Pune Supergiant"/>
    <x v="12"/>
    <x v="0"/>
    <s v="normal"/>
    <x v="12"/>
    <n v="0"/>
    <n v="6"/>
    <s v="AY Dandekar"/>
    <s v="A Deshmukh"/>
  </r>
  <r>
    <n v="26"/>
    <s v="Rajkot"/>
    <x v="9"/>
    <d v="2017-04-23T00:00:00"/>
    <x v="186"/>
    <x v="33"/>
    <s v="Kings XI Punjab"/>
    <s v="Gujarat Lions"/>
    <x v="11"/>
    <x v="0"/>
    <s v="normal"/>
    <x v="5"/>
    <n v="26"/>
    <n v="0"/>
    <s v="AK Chaudhary"/>
    <s v="M Erasmus"/>
  </r>
  <r>
    <n v="27"/>
    <s v="Kolkata"/>
    <x v="9"/>
    <d v="2017-04-23T00:00:00"/>
    <x v="170"/>
    <x v="4"/>
    <s v="Kolkata Knight Riders"/>
    <s v="Royal Challengers Bangalore"/>
    <x v="0"/>
    <x v="0"/>
    <s v="normal"/>
    <x v="0"/>
    <n v="82"/>
    <n v="0"/>
    <s v="CB Gaffaney"/>
    <s v="CK Nandan"/>
  </r>
  <r>
    <n v="28"/>
    <s v="Mumbai"/>
    <x v="9"/>
    <d v="2017-04-24T00:00:00"/>
    <x v="192"/>
    <x v="3"/>
    <s v="Rising Pune Supergiant"/>
    <s v="Mumbai Indians"/>
    <x v="3"/>
    <x v="0"/>
    <s v="normal"/>
    <x v="12"/>
    <n v="3"/>
    <n v="0"/>
    <s v="A Nand Kishore"/>
    <s v="S Ravi"/>
  </r>
  <r>
    <n v="29"/>
    <s v="Pune"/>
    <x v="9"/>
    <d v="2017-04-26T00:00:00"/>
    <x v="75"/>
    <x v="31"/>
    <s v="Rising Pune Supergiant"/>
    <s v="Kolkata Knight Riders"/>
    <x v="6"/>
    <x v="0"/>
    <s v="normal"/>
    <x v="0"/>
    <n v="0"/>
    <n v="7"/>
    <s v="AY Dandekar"/>
    <s v="NJ Llong"/>
  </r>
  <r>
    <n v="30"/>
    <s v="Bangalore"/>
    <x v="9"/>
    <d v="2017-04-27T00:00:00"/>
    <x v="191"/>
    <x v="0"/>
    <s v="Royal Challengers Bangalore"/>
    <s v="Gujarat Lions"/>
    <x v="11"/>
    <x v="0"/>
    <s v="normal"/>
    <x v="13"/>
    <n v="0"/>
    <n v="7"/>
    <s v="AK Chaudhary"/>
    <s v="C Shamshuddin"/>
  </r>
  <r>
    <n v="31"/>
    <s v="Kolkata"/>
    <x v="9"/>
    <d v="2017-04-28T00:00:00"/>
    <x v="56"/>
    <x v="4"/>
    <s v="Delhi Daredevils"/>
    <s v="Kolkata Knight Riders"/>
    <x v="6"/>
    <x v="0"/>
    <s v="normal"/>
    <x v="0"/>
    <n v="0"/>
    <n v="7"/>
    <s v="NJ Llong"/>
    <s v="S Ravi"/>
  </r>
  <r>
    <n v="32"/>
    <s v="Chandigarh"/>
    <x v="9"/>
    <d v="2017-04-28T00:00:00"/>
    <x v="188"/>
    <x v="32"/>
    <s v="Sunrisers Hyderabad"/>
    <s v="Kings XI Punjab"/>
    <x v="5"/>
    <x v="0"/>
    <s v="normal"/>
    <x v="11"/>
    <n v="26"/>
    <n v="0"/>
    <s v="Nitin Menon"/>
    <s v="CK Nandan"/>
  </r>
  <r>
    <n v="33"/>
    <s v="Pune"/>
    <x v="9"/>
    <d v="2017-04-29T00:00:00"/>
    <x v="195"/>
    <x v="31"/>
    <s v="Rising Pune Supergiant"/>
    <s v="Royal Challengers Bangalore"/>
    <x v="0"/>
    <x v="0"/>
    <s v="normal"/>
    <x v="12"/>
    <n v="61"/>
    <n v="0"/>
    <s v="KN Ananthapadmanabhan"/>
    <s v="M Erasmus"/>
  </r>
  <r>
    <n v="34"/>
    <s v="Rajkot"/>
    <x v="9"/>
    <d v="2017-04-29T00:00:00"/>
    <x v="185"/>
    <x v="33"/>
    <s v="Gujarat Lions"/>
    <s v="Mumbai Indians"/>
    <x v="11"/>
    <x v="1"/>
    <s v="tie"/>
    <x v="7"/>
    <n v="0"/>
    <n v="0"/>
    <s v="AK Chaudhary"/>
    <s v="CB Gaffaney"/>
  </r>
  <r>
    <n v="35"/>
    <s v="Chandigarh"/>
    <x v="9"/>
    <d v="2017-04-30T00:00:00"/>
    <x v="156"/>
    <x v="32"/>
    <s v="Delhi Daredevils"/>
    <s v="Kings XI Punjab"/>
    <x v="5"/>
    <x v="0"/>
    <s v="normal"/>
    <x v="5"/>
    <n v="0"/>
    <n v="10"/>
    <s v="YC Barde"/>
    <s v="CK Nandan"/>
  </r>
  <r>
    <n v="36"/>
    <s v="Hyderabad"/>
    <x v="9"/>
    <d v="2017-04-30T00:00:00"/>
    <x v="79"/>
    <x v="6"/>
    <s v="Sunrisers Hyderabad"/>
    <s v="Kolkata Knight Riders"/>
    <x v="6"/>
    <x v="0"/>
    <s v="normal"/>
    <x v="11"/>
    <n v="48"/>
    <n v="0"/>
    <s v="AY Dandekar"/>
    <s v="S Ravi"/>
  </r>
  <r>
    <n v="37"/>
    <s v="Mumbai"/>
    <x v="9"/>
    <d v="2017-05-01T00:00:00"/>
    <x v="57"/>
    <x v="3"/>
    <s v="Royal Challengers Bangalore"/>
    <s v="Mumbai Indians"/>
    <x v="0"/>
    <x v="1"/>
    <s v="normal"/>
    <x v="7"/>
    <n v="0"/>
    <n v="5"/>
    <s v="AK Chaudhary"/>
    <s v="CB Gaffaney"/>
  </r>
  <r>
    <n v="38"/>
    <s v="Pune"/>
    <x v="9"/>
    <d v="2017-05-01T00:00:00"/>
    <x v="192"/>
    <x v="31"/>
    <s v="Gujarat Lions"/>
    <s v="Rising Pune Supergiant"/>
    <x v="12"/>
    <x v="0"/>
    <s v="normal"/>
    <x v="12"/>
    <n v="0"/>
    <n v="5"/>
    <s v="M Erasmus"/>
    <s v="C Shamshuddin"/>
  </r>
  <r>
    <n v="39"/>
    <s v="Delhi"/>
    <x v="9"/>
    <d v="2017-05-02T00:00:00"/>
    <x v="196"/>
    <x v="2"/>
    <s v="Sunrisers Hyderabad"/>
    <s v="Delhi Daredevils"/>
    <x v="7"/>
    <x v="0"/>
    <s v="normal"/>
    <x v="2"/>
    <n v="0"/>
    <n v="6"/>
    <s v="YC Barde"/>
    <s v="Nitin Menon"/>
  </r>
  <r>
    <n v="40"/>
    <s v="Kolkata"/>
    <x v="9"/>
    <d v="2017-05-03T00:00:00"/>
    <x v="197"/>
    <x v="4"/>
    <s v="Kolkata Knight Riders"/>
    <s v="Rising Pune Supergiant"/>
    <x v="12"/>
    <x v="0"/>
    <s v="normal"/>
    <x v="12"/>
    <n v="0"/>
    <n v="4"/>
    <s v="KN Ananthapadmanabhan"/>
    <s v="A Nand Kishore"/>
  </r>
  <r>
    <n v="41"/>
    <s v="Delhi"/>
    <x v="9"/>
    <d v="2017-05-04T00:00:00"/>
    <x v="182"/>
    <x v="2"/>
    <s v="Gujarat Lions"/>
    <s v="Delhi Daredevils"/>
    <x v="7"/>
    <x v="0"/>
    <s v="normal"/>
    <x v="2"/>
    <n v="0"/>
    <n v="7"/>
    <s v="M Erasmus"/>
    <s v="Nitin Menon"/>
  </r>
  <r>
    <n v="42"/>
    <s v="Bangalore"/>
    <x v="9"/>
    <d v="2017-05-05T00:00:00"/>
    <x v="156"/>
    <x v="0"/>
    <s v="Kings XI Punjab"/>
    <s v="Royal Challengers Bangalore"/>
    <x v="0"/>
    <x v="0"/>
    <s v="normal"/>
    <x v="5"/>
    <n v="19"/>
    <n v="0"/>
    <s v="CB Gaffaney"/>
    <s v="C Shamshuddin"/>
  </r>
  <r>
    <n v="43"/>
    <s v="Hyderabad"/>
    <x v="9"/>
    <d v="2017-05-06T00:00:00"/>
    <x v="93"/>
    <x v="6"/>
    <s v="Rising Pune Supergiant"/>
    <s v="Sunrisers Hyderabad"/>
    <x v="10"/>
    <x v="0"/>
    <s v="normal"/>
    <x v="12"/>
    <n v="12"/>
    <n v="0"/>
    <s v="KN Ananthapadmanabhan"/>
    <s v="AK Chaudhary"/>
  </r>
  <r>
    <n v="44"/>
    <s v="Delhi"/>
    <x v="9"/>
    <d v="2017-05-06T00:00:00"/>
    <x v="161"/>
    <x v="2"/>
    <s v="Mumbai Indians"/>
    <s v="Delhi Daredevils"/>
    <x v="7"/>
    <x v="0"/>
    <s v="normal"/>
    <x v="7"/>
    <n v="146"/>
    <n v="0"/>
    <s v="Nitin Menon"/>
    <s v="CK Nandan"/>
  </r>
  <r>
    <n v="45"/>
    <s v="Bangalore"/>
    <x v="9"/>
    <d v="2017-05-07T00:00:00"/>
    <x v="127"/>
    <x v="0"/>
    <s v="Royal Challengers Bangalore"/>
    <s v="Kolkata Knight Riders"/>
    <x v="6"/>
    <x v="0"/>
    <s v="normal"/>
    <x v="0"/>
    <n v="0"/>
    <n v="6"/>
    <s v="AY Dandekar"/>
    <s v="C Shamshuddin"/>
  </r>
  <r>
    <n v="46"/>
    <s v="Chandigarh"/>
    <x v="9"/>
    <d v="2017-05-07T00:00:00"/>
    <x v="60"/>
    <x v="32"/>
    <s v="Kings XI Punjab"/>
    <s v="Gujarat Lions"/>
    <x v="11"/>
    <x v="0"/>
    <s v="normal"/>
    <x v="13"/>
    <n v="0"/>
    <n v="6"/>
    <s v="A Nand Kishore"/>
    <s v="VK Sharma"/>
  </r>
  <r>
    <n v="47"/>
    <s v="Hyderabad"/>
    <x v="9"/>
    <d v="2017-05-08T00:00:00"/>
    <x v="114"/>
    <x v="6"/>
    <s v="Mumbai Indians"/>
    <s v="Sunrisers Hyderabad"/>
    <x v="3"/>
    <x v="1"/>
    <s v="normal"/>
    <x v="11"/>
    <n v="0"/>
    <n v="7"/>
    <s v="KN Ananthapadmanabhan"/>
    <s v="M Erasmus"/>
  </r>
  <r>
    <n v="48"/>
    <s v="Chandigarh"/>
    <x v="9"/>
    <d v="2017-05-09T00:00:00"/>
    <x v="154"/>
    <x v="32"/>
    <s v="Kings XI Punjab"/>
    <s v="Kolkata Knight Riders"/>
    <x v="6"/>
    <x v="0"/>
    <s v="normal"/>
    <x v="5"/>
    <n v="14"/>
    <n v="0"/>
    <s v="A Nand Kishore"/>
    <s v="S Ravi"/>
  </r>
  <r>
    <n v="49"/>
    <s v="Kanpur"/>
    <x v="9"/>
    <d v="2017-05-10T00:00:00"/>
    <x v="166"/>
    <x v="34"/>
    <s v="Gujarat Lions"/>
    <s v="Delhi Daredevils"/>
    <x v="7"/>
    <x v="0"/>
    <s v="normal"/>
    <x v="2"/>
    <n v="0"/>
    <n v="2"/>
    <s v="YC Barde"/>
    <s v="AK Chaudhary"/>
  </r>
  <r>
    <n v="50"/>
    <s v="Mumbai"/>
    <x v="9"/>
    <d v="2017-05-11T00:00:00"/>
    <x v="113"/>
    <x v="3"/>
    <s v="Kings XI Punjab"/>
    <s v="Mumbai Indians"/>
    <x v="3"/>
    <x v="0"/>
    <s v="normal"/>
    <x v="5"/>
    <n v="7"/>
    <n v="0"/>
    <s v="A Deshmukh"/>
    <s v="A Nand Kishore"/>
  </r>
  <r>
    <n v="51"/>
    <s v="Delhi"/>
    <x v="9"/>
    <d v="2017-05-12T00:00:00"/>
    <x v="159"/>
    <x v="2"/>
    <s v="Delhi Daredevils"/>
    <s v="Rising Pune Supergiant"/>
    <x v="7"/>
    <x v="1"/>
    <s v="normal"/>
    <x v="2"/>
    <n v="7"/>
    <n v="0"/>
    <s v="KN Ananthapadmanabhan"/>
    <s v="CK Nandan"/>
  </r>
  <r>
    <n v="52"/>
    <s v="Kanpur"/>
    <x v="9"/>
    <d v="2017-05-13T00:00:00"/>
    <x v="198"/>
    <x v="34"/>
    <s v="Gujarat Lions"/>
    <s v="Sunrisers Hyderabad"/>
    <x v="10"/>
    <x v="0"/>
    <s v="normal"/>
    <x v="11"/>
    <n v="0"/>
    <n v="8"/>
    <s v="AK Chaudhary"/>
    <s v="Nitin Menon"/>
  </r>
  <r>
    <n v="53"/>
    <s v="Kolkata"/>
    <x v="9"/>
    <d v="2017-05-13T00:00:00"/>
    <x v="83"/>
    <x v="4"/>
    <s v="Mumbai Indians"/>
    <s v="Kolkata Knight Riders"/>
    <x v="6"/>
    <x v="0"/>
    <s v="normal"/>
    <x v="7"/>
    <n v="9"/>
    <n v="0"/>
    <s v="A Nand Kishore"/>
    <s v="S Ravi"/>
  </r>
  <r>
    <n v="54"/>
    <s v="Pune"/>
    <x v="9"/>
    <d v="2017-05-14T00:00:00"/>
    <x v="93"/>
    <x v="31"/>
    <s v="Kings XI Punjab"/>
    <s v="Rising Pune Supergiant"/>
    <x v="12"/>
    <x v="0"/>
    <s v="normal"/>
    <x v="12"/>
    <n v="0"/>
    <n v="9"/>
    <s v="AY Dandekar"/>
    <s v="A Deshmukh"/>
  </r>
  <r>
    <n v="55"/>
    <s v="Delhi"/>
    <x v="9"/>
    <d v="2017-05-14T00:00:00"/>
    <x v="199"/>
    <x v="2"/>
    <s v="Royal Challengers Bangalore"/>
    <s v="Delhi Daredevils"/>
    <x v="0"/>
    <x v="1"/>
    <s v="normal"/>
    <x v="3"/>
    <n v="10"/>
    <n v="0"/>
    <s v="CK Nandan"/>
    <s v="C Shamshuddin"/>
  </r>
  <r>
    <n v="56"/>
    <s v="Mumbai"/>
    <x v="9"/>
    <d v="2017-05-16T00:00:00"/>
    <x v="200"/>
    <x v="3"/>
    <s v="Rising Pune Supergiant"/>
    <s v="Mumbai Indians"/>
    <x v="3"/>
    <x v="0"/>
    <s v="normal"/>
    <x v="12"/>
    <n v="20"/>
    <n v="0"/>
    <s v="S Ravi"/>
    <s v="C Shamshuddin"/>
  </r>
  <r>
    <n v="57"/>
    <s v="Bangalore"/>
    <x v="9"/>
    <d v="2017-05-17T00:00:00"/>
    <x v="170"/>
    <x v="0"/>
    <s v="Sunrisers Hyderabad"/>
    <s v="Kolkata Knight Riders"/>
    <x v="6"/>
    <x v="0"/>
    <s v="normal"/>
    <x v="0"/>
    <n v="0"/>
    <n v="7"/>
    <s v="AK Chaudhary"/>
    <s v="Nitin Menon"/>
  </r>
  <r>
    <n v="58"/>
    <s v="Bangalore"/>
    <x v="9"/>
    <d v="2017-05-19T00:00:00"/>
    <x v="201"/>
    <x v="0"/>
    <s v="Kolkata Knight Riders"/>
    <s v="Mumbai Indians"/>
    <x v="3"/>
    <x v="0"/>
    <s v="normal"/>
    <x v="7"/>
    <n v="0"/>
    <n v="6"/>
    <s v="NJ Llong"/>
    <s v="Nitin Menon"/>
  </r>
  <r>
    <n v="59"/>
    <s v="Hyderabad"/>
    <x v="9"/>
    <d v="2017-05-21T00:00:00"/>
    <x v="185"/>
    <x v="6"/>
    <s v="Mumbai Indians"/>
    <s v="Rising Pune Supergiant"/>
    <x v="3"/>
    <x v="1"/>
    <s v="normal"/>
    <x v="7"/>
    <n v="1"/>
    <n v="0"/>
    <s v="NJ Llong"/>
    <s v="S Ravi"/>
  </r>
  <r>
    <n v="7894"/>
    <s v="Mumbai"/>
    <x v="10"/>
    <d v="2018-04-07T00:00:00"/>
    <x v="31"/>
    <x v="3"/>
    <s v="Mumbai Indians"/>
    <s v="Chennai Super Kings"/>
    <x v="1"/>
    <x v="0"/>
    <s v="normal"/>
    <x v="1"/>
    <n v="0"/>
    <n v="1"/>
    <s v="Chris Gaffaney"/>
    <s v="A Nanda Kishore"/>
  </r>
  <r>
    <n v="7895"/>
    <s v="Mohali"/>
    <x v="10"/>
    <d v="2018-04-08T00:00:00"/>
    <x v="202"/>
    <x v="32"/>
    <s v="Delhi Daredevils"/>
    <s v="Kings XI Punjab"/>
    <x v="5"/>
    <x v="0"/>
    <s v="normal"/>
    <x v="5"/>
    <n v="0"/>
    <n v="6"/>
    <s v="Rod Tucker"/>
    <s v="K Ananthapadmanabhan"/>
  </r>
  <r>
    <n v="7896"/>
    <s v="Kolkata"/>
    <x v="10"/>
    <d v="2018-04-08T00:00:00"/>
    <x v="127"/>
    <x v="4"/>
    <s v="Royal Challengers Bangalore"/>
    <s v="Kolkata Knight Riders"/>
    <x v="6"/>
    <x v="0"/>
    <s v="normal"/>
    <x v="0"/>
    <n v="0"/>
    <n v="4"/>
    <s v="C Shamshuddin"/>
    <s v="A.D Deshmukh"/>
  </r>
  <r>
    <n v="7897"/>
    <s v="Hyderabad"/>
    <x v="10"/>
    <d v="2018-04-09T00:00:00"/>
    <x v="114"/>
    <x v="6"/>
    <s v="Rajasthan Royals"/>
    <s v="Sunrisers Hyderabad"/>
    <x v="10"/>
    <x v="0"/>
    <s v="normal"/>
    <x v="11"/>
    <n v="0"/>
    <n v="9"/>
    <s v="Nigel Llong"/>
    <s v="Vineet Kulkarni"/>
  </r>
  <r>
    <n v="7898"/>
    <s v="Chennai"/>
    <x v="10"/>
    <d v="2018-04-10T00:00:00"/>
    <x v="203"/>
    <x v="7"/>
    <s v="Kolkata Knight Riders"/>
    <s v="Chennai Super Kings"/>
    <x v="1"/>
    <x v="0"/>
    <s v="normal"/>
    <x v="1"/>
    <n v="0"/>
    <n v="5"/>
    <s v="Anil Chaudhary"/>
    <s v="Chris Gaffaney"/>
  </r>
  <r>
    <n v="7899"/>
    <s v="Jaipur"/>
    <x v="10"/>
    <d v="2018-04-11T00:00:00"/>
    <x v="144"/>
    <x v="5"/>
    <s v="Rajasthan Royals"/>
    <s v="Delhi Daredevils"/>
    <x v="7"/>
    <x v="0"/>
    <s v="normal"/>
    <x v="4"/>
    <n v="10"/>
    <n v="0"/>
    <s v="K Ananthapadmanabhan"/>
    <s v="Rod Tucker"/>
  </r>
  <r>
    <n v="7900"/>
    <s v="Hyderabad"/>
    <x v="10"/>
    <d v="2018-04-12T00:00:00"/>
    <x v="188"/>
    <x v="6"/>
    <s v="Mumbai Indians"/>
    <s v="Sunrisers Hyderabad"/>
    <x v="10"/>
    <x v="0"/>
    <s v="normal"/>
    <x v="11"/>
    <n v="0"/>
    <n v="1"/>
    <s v="O Nandan"/>
    <s v="Nigel Llong"/>
  </r>
  <r>
    <n v="7901"/>
    <s v="Bengaluru"/>
    <x v="10"/>
    <d v="2018-04-13T00:00:00"/>
    <x v="136"/>
    <x v="0"/>
    <s v="Kings XI Punjab"/>
    <s v="Royal Challengers Bangalore"/>
    <x v="0"/>
    <x v="0"/>
    <s v="normal"/>
    <x v="3"/>
    <n v="0"/>
    <n v="4"/>
    <s v="S Ravi"/>
    <s v="A.D Deshmukh"/>
  </r>
  <r>
    <n v="7902"/>
    <s v="Mumbai"/>
    <x v="10"/>
    <d v="2018-04-14T00:00:00"/>
    <x v="204"/>
    <x v="3"/>
    <s v="Mumbai Indians"/>
    <s v="Delhi Daredevils"/>
    <x v="7"/>
    <x v="0"/>
    <s v="normal"/>
    <x v="2"/>
    <n v="0"/>
    <n v="7"/>
    <s v="K Ananthapadmanabhan"/>
    <s v="Nitin Menon"/>
  </r>
  <r>
    <n v="7903"/>
    <s v="Kolkata"/>
    <x v="10"/>
    <d v="2018-04-14T00:00:00"/>
    <x v="205"/>
    <x v="4"/>
    <s v="Kolkata Knight Riders"/>
    <s v="Sunrisers Hyderabad"/>
    <x v="10"/>
    <x v="0"/>
    <s v="normal"/>
    <x v="11"/>
    <n v="0"/>
    <n v="5"/>
    <s v="A Nanda Kishore"/>
    <s v="Anil Chaudhary"/>
  </r>
  <r>
    <n v="7904"/>
    <s v="Bengaluru"/>
    <x v="10"/>
    <d v="2018-04-15T00:00:00"/>
    <x v="144"/>
    <x v="0"/>
    <s v="Rajasthan Royals"/>
    <s v="Royal Challengers Bangalore"/>
    <x v="0"/>
    <x v="0"/>
    <s v="normal"/>
    <x v="4"/>
    <n v="19"/>
    <n v="0"/>
    <s v="C Shamshuddin"/>
    <s v="S Ravi"/>
  </r>
  <r>
    <n v="7905"/>
    <s v="Mohali"/>
    <x v="10"/>
    <d v="2018-04-15T00:00:00"/>
    <x v="45"/>
    <x v="32"/>
    <s v="Kings XI Punjab"/>
    <s v="Chennai Super Kings"/>
    <x v="1"/>
    <x v="0"/>
    <s v="normal"/>
    <x v="5"/>
    <n v="4"/>
    <n v="0"/>
    <s v="Vineet Kulkarni"/>
    <s v="O Nandan"/>
  </r>
  <r>
    <n v="7906"/>
    <s v="Kolkata"/>
    <x v="10"/>
    <d v="2018-04-16T00:00:00"/>
    <x v="189"/>
    <x v="4"/>
    <s v="Kolkata Knight Riders"/>
    <s v="Delhi Daredevils"/>
    <x v="7"/>
    <x v="0"/>
    <s v="normal"/>
    <x v="0"/>
    <n v="71"/>
    <n v="0"/>
    <s v="Anil Chaudhary"/>
    <s v="A Nanda Kishore"/>
  </r>
  <r>
    <n v="7907"/>
    <s v="Mumbai"/>
    <x v="10"/>
    <d v="2018-04-17T00:00:00"/>
    <x v="57"/>
    <x v="3"/>
    <s v="Mumbai Indians"/>
    <s v="Royal Challengers Bangalore"/>
    <x v="0"/>
    <x v="0"/>
    <s v="normal"/>
    <x v="7"/>
    <n v="46"/>
    <n v="0"/>
    <s v="Rod Tucker"/>
    <s v="Nitin Menon"/>
  </r>
  <r>
    <n v="7908"/>
    <s v="Jaipur"/>
    <x v="10"/>
    <d v="2018-04-18T00:00:00"/>
    <x v="189"/>
    <x v="5"/>
    <s v="Rajasthan Royals"/>
    <s v="Kolkata Knight Riders"/>
    <x v="6"/>
    <x v="0"/>
    <s v="normal"/>
    <x v="0"/>
    <n v="0"/>
    <n v="7"/>
    <s v="S Ravi"/>
    <s v="A.D Deshmukh"/>
  </r>
  <r>
    <n v="7909"/>
    <s v="Mohali"/>
    <x v="10"/>
    <d v="2018-04-19T00:00:00"/>
    <x v="45"/>
    <x v="32"/>
    <s v="Kings XI Punjab"/>
    <s v="Sunrisers Hyderabad"/>
    <x v="5"/>
    <x v="1"/>
    <s v="normal"/>
    <x v="5"/>
    <n v="15"/>
    <n v="0"/>
    <s v="Nigel Llong"/>
    <s v="Anil Chaudhary"/>
  </r>
  <r>
    <n v="7910"/>
    <s v="Pune"/>
    <x v="10"/>
    <d v="2018-04-20T00:00:00"/>
    <x v="5"/>
    <x v="31"/>
    <s v="Chennai Super Kings"/>
    <s v="Rajasthan Royals"/>
    <x v="2"/>
    <x v="0"/>
    <s v="normal"/>
    <x v="1"/>
    <n v="64"/>
    <n v="0"/>
    <s v="Nitin Menon"/>
    <s v="K Ananthapadmanabhan"/>
  </r>
  <r>
    <n v="7911"/>
    <s v="Kolkata"/>
    <x v="10"/>
    <d v="2018-04-21T00:00:00"/>
    <x v="202"/>
    <x v="4"/>
    <s v="Kolkata Knight Riders"/>
    <s v="Kings XI Punjab"/>
    <x v="5"/>
    <x v="0"/>
    <s v="normal"/>
    <x v="5"/>
    <n v="0"/>
    <n v="9"/>
    <s v="C Shamshuddin"/>
    <s v="A.D Deshmukh"/>
  </r>
  <r>
    <n v="7912"/>
    <s v="Bengaluru"/>
    <x v="10"/>
    <d v="2018-04-21T00:00:00"/>
    <x v="46"/>
    <x v="0"/>
    <s v="Delhi Daredevils"/>
    <s v="Royal Challengers Bangalore"/>
    <x v="0"/>
    <x v="0"/>
    <s v="normal"/>
    <x v="3"/>
    <n v="0"/>
    <n v="6"/>
    <s v="Chris Gaffaney"/>
    <s v="O Nandan"/>
  </r>
  <r>
    <n v="7913"/>
    <s v="Hyderabad"/>
    <x v="10"/>
    <d v="2018-04-22T00:00:00"/>
    <x v="83"/>
    <x v="6"/>
    <s v="Chennai Super Kings"/>
    <s v="Sunrisers Hyderabad"/>
    <x v="10"/>
    <x v="0"/>
    <s v="normal"/>
    <x v="1"/>
    <n v="4"/>
    <n v="0"/>
    <s v="Anil Chaudhary"/>
    <s v="Vineet Kulkarni"/>
  </r>
  <r>
    <n v="7914"/>
    <s v="Jaipur"/>
    <x v="10"/>
    <d v="2018-04-22T00:00:00"/>
    <x v="206"/>
    <x v="5"/>
    <s v="Mumbai Indians"/>
    <s v="Rajasthan Royals"/>
    <x v="3"/>
    <x v="1"/>
    <s v="normal"/>
    <x v="4"/>
    <n v="0"/>
    <n v="3"/>
    <s v="Rod Tucker"/>
    <s v="K Ananthapadmanabhan"/>
  </r>
  <r>
    <n v="7915"/>
    <s v="Delhi"/>
    <x v="10"/>
    <d v="2018-04-23T00:00:00"/>
    <x v="207"/>
    <x v="2"/>
    <s v="Kings XI Punjab"/>
    <s v="Delhi Daredevils"/>
    <x v="7"/>
    <x v="0"/>
    <s v="normal"/>
    <x v="5"/>
    <n v="4"/>
    <n v="0"/>
    <s v="O Nandan"/>
    <s v="A Nanda Kishore"/>
  </r>
  <r>
    <n v="7916"/>
    <s v="Mumbai"/>
    <x v="10"/>
    <d v="2018-04-24T00:00:00"/>
    <x v="188"/>
    <x v="3"/>
    <s v="Sunrisers Hyderabad"/>
    <s v="Mumbai Indians"/>
    <x v="3"/>
    <x v="0"/>
    <s v="normal"/>
    <x v="11"/>
    <n v="31"/>
    <n v="0"/>
    <s v="C Shamshuddin"/>
    <s v="S Ravi"/>
  </r>
  <r>
    <n v="7917"/>
    <s v="Bengaluru"/>
    <x v="10"/>
    <d v="2018-04-25T00:00:00"/>
    <x v="13"/>
    <x v="0"/>
    <s v="Royal Challengers Bangalore"/>
    <s v="Chennai Super Kings"/>
    <x v="1"/>
    <x v="0"/>
    <s v="normal"/>
    <x v="1"/>
    <n v="0"/>
    <n v="5"/>
    <s v="Nigel Llong"/>
    <s v="Virender Kumar Sharma"/>
  </r>
  <r>
    <n v="7918"/>
    <s v="Hyderabad"/>
    <x v="10"/>
    <d v="2018-04-26T00:00:00"/>
    <x v="207"/>
    <x v="6"/>
    <s v="Sunrisers Hyderabad"/>
    <s v="Kings XI Punjab"/>
    <x v="5"/>
    <x v="0"/>
    <s v="normal"/>
    <x v="11"/>
    <n v="13"/>
    <n v="0"/>
    <s v="O Nandan"/>
    <s v="Yeshwant Barde"/>
  </r>
  <r>
    <n v="7919"/>
    <s v="Delhi"/>
    <x v="10"/>
    <d v="2018-04-27T00:00:00"/>
    <x v="166"/>
    <x v="2"/>
    <s v="Delhi Daredevils"/>
    <s v="Kolkata Knight Riders"/>
    <x v="6"/>
    <x v="0"/>
    <s v="normal"/>
    <x v="2"/>
    <n v="55"/>
    <n v="0"/>
    <s v="C Shamshuddin"/>
    <s v="S Ravi"/>
  </r>
  <r>
    <n v="7920"/>
    <s v="Pune"/>
    <x v="10"/>
    <d v="2018-04-28T00:00:00"/>
    <x v="57"/>
    <x v="31"/>
    <s v="Chennai Super Kings"/>
    <s v="Mumbai Indians"/>
    <x v="3"/>
    <x v="0"/>
    <s v="normal"/>
    <x v="7"/>
    <n v="0"/>
    <n v="8"/>
    <s v="Chris Gaffaney"/>
    <s v="Nitin Menon"/>
  </r>
  <r>
    <n v="7921"/>
    <s v="Jaipur"/>
    <x v="10"/>
    <d v="2018-04-29T00:00:00"/>
    <x v="193"/>
    <x v="5"/>
    <s v="Sunrisers Hyderabad"/>
    <s v="Rajasthan Royals"/>
    <x v="10"/>
    <x v="1"/>
    <s v="normal"/>
    <x v="11"/>
    <n v="11"/>
    <n v="0"/>
    <s v="Bruce Oxenford"/>
    <s v="A Nanda Kishore"/>
  </r>
  <r>
    <n v="7922"/>
    <s v="Bengaluru"/>
    <x v="10"/>
    <d v="2018-04-29T00:00:00"/>
    <x v="153"/>
    <x v="0"/>
    <s v="Royal Challengers Bangalore"/>
    <s v="Kolkata Knight Riders"/>
    <x v="6"/>
    <x v="0"/>
    <s v="normal"/>
    <x v="0"/>
    <n v="0"/>
    <n v="6"/>
    <s v="Nigel Llong"/>
    <s v="Anil Chaudhary"/>
  </r>
  <r>
    <n v="7923"/>
    <s v="Pune"/>
    <x v="10"/>
    <d v="2018-04-30T00:00:00"/>
    <x v="5"/>
    <x v="31"/>
    <s v="Chennai Super Kings"/>
    <s v="Delhi Daredevils"/>
    <x v="7"/>
    <x v="0"/>
    <s v="normal"/>
    <x v="1"/>
    <n v="13"/>
    <n v="0"/>
    <s v="C Shamshuddin"/>
    <s v="Anil Dandekar"/>
  </r>
  <r>
    <n v="7924"/>
    <s v="Bengaluru"/>
    <x v="10"/>
    <d v="2018-05-01T00:00:00"/>
    <x v="208"/>
    <x v="0"/>
    <s v="Royal Challengers Bangalore"/>
    <s v="Mumbai Indians"/>
    <x v="3"/>
    <x v="0"/>
    <s v="normal"/>
    <x v="3"/>
    <n v="14"/>
    <n v="0"/>
    <s v="Marais Erasmus"/>
    <s v="Nitin Menon"/>
  </r>
  <r>
    <n v="7925"/>
    <s v="Delhi"/>
    <x v="10"/>
    <d v="2018-05-02T00:00:00"/>
    <x v="182"/>
    <x v="2"/>
    <s v="Delhi Daredevils"/>
    <s v="Rajasthan Royals"/>
    <x v="2"/>
    <x v="0"/>
    <s v="normal"/>
    <x v="2"/>
    <n v="4"/>
    <n v="0"/>
    <s v="O Nandan"/>
    <s v="Virender Kumar Sharma"/>
  </r>
  <r>
    <n v="7926"/>
    <s v="Kolkata"/>
    <x v="10"/>
    <d v="2018-05-03T00:00:00"/>
    <x v="127"/>
    <x v="4"/>
    <s v="Chennai Super Kings"/>
    <s v="Kolkata Knight Riders"/>
    <x v="6"/>
    <x v="0"/>
    <s v="normal"/>
    <x v="0"/>
    <n v="0"/>
    <n v="6"/>
    <s v="Kumar Dharmasena"/>
    <s v="A.D Deshmukh"/>
  </r>
  <r>
    <n v="7927"/>
    <s v="Indore"/>
    <x v="10"/>
    <d v="2018-05-04T00:00:00"/>
    <x v="209"/>
    <x v="23"/>
    <s v="Kings XI Punjab"/>
    <s v="Mumbai Indians"/>
    <x v="3"/>
    <x v="0"/>
    <s v="normal"/>
    <x v="7"/>
    <n v="0"/>
    <n v="6"/>
    <s v="S Ravi"/>
    <s v="Anil Dandekar"/>
  </r>
  <r>
    <n v="7928"/>
    <s v="Pune"/>
    <x v="10"/>
    <d v="2018-05-05T00:00:00"/>
    <x v="120"/>
    <x v="31"/>
    <s v="Royal Challengers Bangalore"/>
    <s v="Chennai Super Kings"/>
    <x v="1"/>
    <x v="0"/>
    <s v="normal"/>
    <x v="1"/>
    <n v="0"/>
    <n v="6"/>
    <s v="Nitin Menon"/>
    <s v="Yeshwant Barde"/>
  </r>
  <r>
    <n v="7929"/>
    <s v="Hyderabad"/>
    <x v="10"/>
    <d v="2018-05-05T00:00:00"/>
    <x v="188"/>
    <x v="6"/>
    <s v="Delhi Daredevils"/>
    <s v="Sunrisers Hyderabad"/>
    <x v="7"/>
    <x v="1"/>
    <s v="normal"/>
    <x v="11"/>
    <n v="0"/>
    <n v="7"/>
    <s v="Bruce Oxenford"/>
    <s v="O Nandan"/>
  </r>
  <r>
    <n v="7930"/>
    <s v="Mumbai"/>
    <x v="10"/>
    <d v="2018-05-06T00:00:00"/>
    <x v="172"/>
    <x v="3"/>
    <s v="Mumbai Indians"/>
    <s v="Kolkata Knight Riders"/>
    <x v="6"/>
    <x v="0"/>
    <s v="normal"/>
    <x v="7"/>
    <n v="13"/>
    <n v="0"/>
    <s v="Kumar Dharmasena"/>
    <s v="A.D Deshmukh"/>
  </r>
  <r>
    <n v="7931"/>
    <s v="Indore"/>
    <x v="10"/>
    <d v="2018-05-06T00:00:00"/>
    <x v="210"/>
    <x v="23"/>
    <s v="Rajasthan Royals"/>
    <s v="Kings XI Punjab"/>
    <x v="5"/>
    <x v="0"/>
    <s v="normal"/>
    <x v="5"/>
    <n v="0"/>
    <n v="6"/>
    <s v="C Shamshuddin"/>
    <s v="S Ravi"/>
  </r>
  <r>
    <n v="7932"/>
    <s v="Hyderabad"/>
    <x v="10"/>
    <d v="2018-05-07T00:00:00"/>
    <x v="193"/>
    <x v="6"/>
    <s v="Sunrisers Hyderabad"/>
    <s v="Royal Challengers Bangalore"/>
    <x v="0"/>
    <x v="0"/>
    <s v="normal"/>
    <x v="11"/>
    <n v="5"/>
    <n v="0"/>
    <s v="Bruce Oxenford"/>
    <s v="Virender Kumar Sharma"/>
  </r>
  <r>
    <n v="7933"/>
    <s v="Jaipur"/>
    <x v="10"/>
    <d v="2018-05-08T00:00:00"/>
    <x v="194"/>
    <x v="5"/>
    <s v="Rajasthan Royals"/>
    <s v="Kings XI Punjab"/>
    <x v="2"/>
    <x v="1"/>
    <s v="normal"/>
    <x v="4"/>
    <n v="15"/>
    <n v="0"/>
    <s v="Marais Erasmus"/>
    <s v="Nitin Menon"/>
  </r>
  <r>
    <n v="7934"/>
    <s v="Kolkata"/>
    <x v="10"/>
    <d v="2018-05-09T00:00:00"/>
    <x v="211"/>
    <x v="4"/>
    <s v="Mumbai Indians"/>
    <s v="Kolkata Knight Riders"/>
    <x v="6"/>
    <x v="0"/>
    <s v="normal"/>
    <x v="7"/>
    <n v="102"/>
    <n v="0"/>
    <s v="Anil Chaudhary"/>
    <s v="K Ananthapadmanabhan"/>
  </r>
  <r>
    <n v="7935"/>
    <s v="Delhi"/>
    <x v="10"/>
    <d v="2018-05-10T00:00:00"/>
    <x v="114"/>
    <x v="2"/>
    <s v="Delhi Daredevils"/>
    <s v="Sunrisers Hyderabad"/>
    <x v="7"/>
    <x v="1"/>
    <s v="normal"/>
    <x v="11"/>
    <n v="0"/>
    <n v="9"/>
    <s v="C Shamshuddin"/>
    <s v="Anil Dandekar"/>
  </r>
  <r>
    <n v="7936"/>
    <s v="Jaipur"/>
    <x v="10"/>
    <d v="2018-05-11T00:00:00"/>
    <x v="194"/>
    <x v="5"/>
    <s v="Chennai Super Kings"/>
    <s v="Rajasthan Royals"/>
    <x v="1"/>
    <x v="1"/>
    <s v="normal"/>
    <x v="4"/>
    <n v="0"/>
    <n v="4"/>
    <s v="Marais Erasmus"/>
    <s v="Yeshwant Barde"/>
  </r>
  <r>
    <n v="7937"/>
    <s v="Indore"/>
    <x v="10"/>
    <d v="2018-05-12T00:00:00"/>
    <x v="127"/>
    <x v="23"/>
    <s v="Kolkata Knight Riders"/>
    <s v="Kings XI Punjab"/>
    <x v="5"/>
    <x v="0"/>
    <s v="normal"/>
    <x v="0"/>
    <n v="31"/>
    <n v="0"/>
    <s v="O Nandan"/>
    <s v="Virender Kumar Sharma"/>
  </r>
  <r>
    <n v="7938"/>
    <s v="Delhi"/>
    <x v="10"/>
    <d v="2018-05-12T00:00:00"/>
    <x v="46"/>
    <x v="2"/>
    <s v="Delhi Daredevils"/>
    <s v="Royal Challengers Bangalore"/>
    <x v="0"/>
    <x v="0"/>
    <s v="normal"/>
    <x v="3"/>
    <n v="0"/>
    <n v="5"/>
    <s v="Kumar Dharmasena"/>
    <s v="Anil Chaudhary"/>
  </r>
  <r>
    <n v="7939"/>
    <s v="Pune"/>
    <x v="10"/>
    <d v="2018-05-13T00:00:00"/>
    <x v="83"/>
    <x v="31"/>
    <s v="Sunrisers Hyderabad"/>
    <s v="Chennai Super Kings"/>
    <x v="1"/>
    <x v="0"/>
    <s v="normal"/>
    <x v="1"/>
    <n v="0"/>
    <n v="8"/>
    <s v="Marais Erasmus"/>
    <s v="Yeshwant Barde"/>
  </r>
  <r>
    <n v="7940"/>
    <s v="Mumbai"/>
    <x v="10"/>
    <d v="2018-05-13T00:00:00"/>
    <x v="194"/>
    <x v="3"/>
    <s v="Mumbai Indians"/>
    <s v="Rajasthan Royals"/>
    <x v="2"/>
    <x v="0"/>
    <s v="normal"/>
    <x v="4"/>
    <n v="0"/>
    <n v="7"/>
    <s v="Nitin Menon"/>
    <s v="S Ravi"/>
  </r>
  <r>
    <n v="7941"/>
    <s v="Indore"/>
    <x v="10"/>
    <d v="2018-05-14T00:00:00"/>
    <x v="136"/>
    <x v="23"/>
    <s v="Kings XI Punjab"/>
    <s v="Royal Challengers Bangalore"/>
    <x v="0"/>
    <x v="0"/>
    <s v="normal"/>
    <x v="3"/>
    <n v="0"/>
    <n v="10"/>
    <s v="Bruce Oxenford"/>
    <s v="Virender Kumar Sharma"/>
  </r>
  <r>
    <n v="7942"/>
    <s v="Kolkata"/>
    <x v="10"/>
    <d v="2018-05-15T00:00:00"/>
    <x v="212"/>
    <x v="4"/>
    <s v="Rajasthan Royals"/>
    <s v="Kolkata Knight Riders"/>
    <x v="6"/>
    <x v="0"/>
    <s v="normal"/>
    <x v="0"/>
    <n v="0"/>
    <n v="6"/>
    <s v="Kumar Dharmasena"/>
    <s v="Anil Chaudhary"/>
  </r>
  <r>
    <n v="7943"/>
    <s v="Mumbai"/>
    <x v="10"/>
    <d v="2018-05-16T00:00:00"/>
    <x v="190"/>
    <x v="3"/>
    <s v="Mumbai Indians"/>
    <s v="Kings XI Punjab"/>
    <x v="5"/>
    <x v="0"/>
    <s v="normal"/>
    <x v="7"/>
    <n v="3"/>
    <n v="0"/>
    <s v="Marais Erasmus"/>
    <s v="Nitin Menon"/>
  </r>
  <r>
    <n v="7944"/>
    <s v="Bengaluru"/>
    <x v="10"/>
    <d v="2018-05-17T00:00:00"/>
    <x v="46"/>
    <x v="0"/>
    <s v="Royal Challengers Bangalore"/>
    <s v="Sunrisers Hyderabad"/>
    <x v="10"/>
    <x v="0"/>
    <s v="normal"/>
    <x v="3"/>
    <n v="14"/>
    <n v="0"/>
    <s v="S Ravi"/>
    <s v="Anil Dandekar"/>
  </r>
  <r>
    <n v="7945"/>
    <s v="Delhi"/>
    <x v="10"/>
    <d v="2018-05-18T00:00:00"/>
    <x v="199"/>
    <x v="2"/>
    <s v="Delhi Daredevils"/>
    <s v="Chennai Super Kings"/>
    <x v="1"/>
    <x v="0"/>
    <s v="normal"/>
    <x v="2"/>
    <n v="34"/>
    <n v="0"/>
    <s v="Kumar Dharmasena"/>
    <s v="Vineet Kulkarni"/>
  </r>
  <r>
    <n v="7946"/>
    <s v="Jaipur"/>
    <x v="10"/>
    <d v="2018-05-19T00:00:00"/>
    <x v="213"/>
    <x v="5"/>
    <s v="Rajasthan Royals"/>
    <s v="Royal Challengers Bangalore"/>
    <x v="2"/>
    <x v="1"/>
    <s v="normal"/>
    <x v="4"/>
    <n v="30"/>
    <n v="0"/>
    <s v="Bruce Oxenford"/>
    <s v="Virender Kumar Sharma"/>
  </r>
  <r>
    <n v="7947"/>
    <s v="Hyderabad"/>
    <x v="10"/>
    <d v="2018-05-19T00:00:00"/>
    <x v="153"/>
    <x v="6"/>
    <s v="Sunrisers Hyderabad"/>
    <s v="Kolkata Knight Riders"/>
    <x v="10"/>
    <x v="1"/>
    <s v="normal"/>
    <x v="0"/>
    <n v="0"/>
    <n v="5"/>
    <s v="Anil Chaudhary"/>
    <s v="S Ravi"/>
  </r>
  <r>
    <n v="7948"/>
    <s v="Delhi"/>
    <x v="10"/>
    <d v="2018-05-20T00:00:00"/>
    <x v="28"/>
    <x v="2"/>
    <s v="Delhi Daredevils"/>
    <s v="Mumbai Indians"/>
    <x v="7"/>
    <x v="1"/>
    <s v="normal"/>
    <x v="2"/>
    <n v="11"/>
    <n v="0"/>
    <s v="Kumar Dharmasena"/>
    <s v="O Nandan"/>
  </r>
  <r>
    <n v="7949"/>
    <s v="Pune"/>
    <x v="10"/>
    <d v="2018-05-20T00:00:00"/>
    <x v="214"/>
    <x v="31"/>
    <s v="Kings XI Punjab"/>
    <s v="Chennai Super Kings"/>
    <x v="1"/>
    <x v="0"/>
    <s v="normal"/>
    <x v="1"/>
    <n v="0"/>
    <n v="5"/>
    <s v="Nitin Menon"/>
    <s v="Yeshwant Barde"/>
  </r>
  <r>
    <n v="7950"/>
    <s v="Mumbai"/>
    <x v="10"/>
    <d v="2018-05-22T00:00:00"/>
    <x v="123"/>
    <x v="3"/>
    <s v="Sunrisers Hyderabad"/>
    <s v="Chennai Super Kings"/>
    <x v="1"/>
    <x v="0"/>
    <s v="normal"/>
    <x v="1"/>
    <n v="0"/>
    <n v="2"/>
    <s v="Marais Erasmus"/>
    <s v="C Shamshuddin"/>
  </r>
  <r>
    <n v="7951"/>
    <s v="Kolkata"/>
    <x v="10"/>
    <d v="2018-05-23T00:00:00"/>
    <x v="164"/>
    <x v="4"/>
    <s v="Kolkata Knight Riders"/>
    <s v="Rajasthan Royals"/>
    <x v="2"/>
    <x v="0"/>
    <s v="normal"/>
    <x v="0"/>
    <n v="25"/>
    <n v="0"/>
    <s v="Nitin Menon"/>
    <s v="Anil Chaudhary"/>
  </r>
  <r>
    <n v="7952"/>
    <s v="Kolkata"/>
    <x v="10"/>
    <d v="2018-05-25T00:00:00"/>
    <x v="188"/>
    <x v="4"/>
    <s v="Sunrisers Hyderabad"/>
    <s v="Kolkata Knight Riders"/>
    <x v="6"/>
    <x v="0"/>
    <s v="normal"/>
    <x v="11"/>
    <n v="14"/>
    <n v="0"/>
    <s v="Nitin Menon"/>
    <s v="Kumar Dharmasena"/>
  </r>
  <r>
    <n v="7953"/>
    <s v="Mumbai"/>
    <x v="10"/>
    <d v="2018-05-27T00:00:00"/>
    <x v="5"/>
    <x v="3"/>
    <s v="Sunrisers Hyderabad"/>
    <s v="Chennai Super Kings"/>
    <x v="1"/>
    <x v="0"/>
    <s v="normal"/>
    <x v="1"/>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B90676-29F4-4E40-AEE1-CD54D81106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4" firstHeaderRow="1" firstDataRow="1"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axis="axisRow" dataField="1" showAll="0" sortType="descending">
      <items count="216">
        <item x="135"/>
        <item x="34"/>
        <item x="28"/>
        <item x="23"/>
        <item x="58"/>
        <item x="72"/>
        <item x="184"/>
        <item x="73"/>
        <item x="46"/>
        <item x="179"/>
        <item x="11"/>
        <item x="76"/>
        <item x="124"/>
        <item x="69"/>
        <item x="164"/>
        <item x="140"/>
        <item x="191"/>
        <item x="119"/>
        <item x="149"/>
        <item x="160"/>
        <item x="207"/>
        <item x="209"/>
        <item x="83"/>
        <item x="133"/>
        <item x="157"/>
        <item x="65"/>
        <item x="205"/>
        <item x="111"/>
        <item x="192"/>
        <item x="0"/>
        <item x="187"/>
        <item x="66"/>
        <item x="134"/>
        <item x="153"/>
        <item x="45"/>
        <item x="180"/>
        <item x="158"/>
        <item x="130"/>
        <item x="181"/>
        <item x="25"/>
        <item x="143"/>
        <item x="79"/>
        <item x="95"/>
        <item x="31"/>
        <item x="162"/>
        <item x="4"/>
        <item x="145"/>
        <item x="42"/>
        <item x="51"/>
        <item x="29"/>
        <item x="60"/>
        <item x="101"/>
        <item x="171"/>
        <item x="123"/>
        <item x="56"/>
        <item x="30"/>
        <item x="15"/>
        <item x="139"/>
        <item x="163"/>
        <item x="152"/>
        <item x="62"/>
        <item x="89"/>
        <item x="50"/>
        <item x="172"/>
        <item x="186"/>
        <item x="199"/>
        <item x="105"/>
        <item x="19"/>
        <item x="107"/>
        <item x="211"/>
        <item x="206"/>
        <item x="106"/>
        <item x="74"/>
        <item x="36"/>
        <item x="194"/>
        <item x="126"/>
        <item x="93"/>
        <item x="10"/>
        <item x="116"/>
        <item x="55"/>
        <item x="190"/>
        <item x="204"/>
        <item x="52"/>
        <item x="141"/>
        <item x="90"/>
        <item x="9"/>
        <item x="35"/>
        <item x="185"/>
        <item x="147"/>
        <item x="159"/>
        <item x="202"/>
        <item x="77"/>
        <item x="129"/>
        <item x="82"/>
        <item x="193"/>
        <item x="212"/>
        <item x="201"/>
        <item x="26"/>
        <item x="214"/>
        <item x="195"/>
        <item x="150"/>
        <item x="161"/>
        <item x="67"/>
        <item x="61"/>
        <item x="94"/>
        <item x="122"/>
        <item x="44"/>
        <item x="32"/>
        <item x="210"/>
        <item x="81"/>
        <item x="138"/>
        <item x="165"/>
        <item x="167"/>
        <item x="131"/>
        <item x="173"/>
        <item x="100"/>
        <item x="1"/>
        <item x="2"/>
        <item x="146"/>
        <item x="85"/>
        <item x="175"/>
        <item x="68"/>
        <item x="70"/>
        <item x="7"/>
        <item x="103"/>
        <item x="154"/>
        <item x="121"/>
        <item x="196"/>
        <item x="198"/>
        <item x="183"/>
        <item x="110"/>
        <item x="137"/>
        <item x="13"/>
        <item x="142"/>
        <item x="177"/>
        <item x="3"/>
        <item x="189"/>
        <item x="170"/>
        <item x="78"/>
        <item x="37"/>
        <item x="132"/>
        <item x="108"/>
        <item x="148"/>
        <item x="99"/>
        <item x="84"/>
        <item x="88"/>
        <item x="48"/>
        <item x="155"/>
        <item x="176"/>
        <item x="91"/>
        <item x="63"/>
        <item x="41"/>
        <item x="92"/>
        <item x="109"/>
        <item x="18"/>
        <item x="120"/>
        <item x="197"/>
        <item x="188"/>
        <item x="117"/>
        <item x="57"/>
        <item x="87"/>
        <item x="43"/>
        <item x="182"/>
        <item x="47"/>
        <item x="75"/>
        <item x="96"/>
        <item x="112"/>
        <item x="59"/>
        <item x="114"/>
        <item x="213"/>
        <item x="128"/>
        <item x="102"/>
        <item x="22"/>
        <item x="17"/>
        <item x="178"/>
        <item x="156"/>
        <item x="54"/>
        <item x="98"/>
        <item x="24"/>
        <item x="16"/>
        <item x="125"/>
        <item x="27"/>
        <item x="39"/>
        <item x="97"/>
        <item x="64"/>
        <item x="80"/>
        <item x="12"/>
        <item x="20"/>
        <item x="21"/>
        <item x="33"/>
        <item x="127"/>
        <item x="118"/>
        <item x="40"/>
        <item x="5"/>
        <item x="166"/>
        <item x="14"/>
        <item x="144"/>
        <item x="203"/>
        <item x="169"/>
        <item x="208"/>
        <item x="86"/>
        <item x="49"/>
        <item x="38"/>
        <item x="136"/>
        <item x="104"/>
        <item x="6"/>
        <item x="168"/>
        <item x="200"/>
        <item x="113"/>
        <item x="71"/>
        <item x="8"/>
        <item x="151"/>
        <item x="53"/>
        <item x="17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1">
    <i>
      <x v="179"/>
    </i>
    <i>
      <x v="193"/>
    </i>
    <i>
      <x v="210"/>
    </i>
    <i>
      <x v="107"/>
    </i>
    <i>
      <x v="188"/>
    </i>
    <i>
      <x v="187"/>
    </i>
    <i>
      <x v="10"/>
    </i>
    <i>
      <x v="178"/>
    </i>
    <i>
      <x v="195"/>
    </i>
    <i>
      <x v="132"/>
    </i>
    <i>
      <x v="205"/>
    </i>
    <i>
      <x v="173"/>
    </i>
    <i>
      <x v="189"/>
    </i>
    <i>
      <x v="182"/>
    </i>
    <i>
      <x v="73"/>
    </i>
    <i>
      <x v="154"/>
    </i>
    <i>
      <x v="77"/>
    </i>
    <i>
      <x v="43"/>
    </i>
    <i>
      <x v="85"/>
    </i>
    <i>
      <x v="45"/>
    </i>
    <i>
      <x v="86"/>
    </i>
    <i>
      <x v="56"/>
    </i>
    <i>
      <x v="97"/>
    </i>
    <i>
      <x v="172"/>
    </i>
    <i>
      <x v="3"/>
    </i>
    <i>
      <x v="39"/>
    </i>
    <i>
      <x v="202"/>
    </i>
    <i>
      <x v="181"/>
    </i>
    <i>
      <x v="2"/>
    </i>
    <i>
      <x v="186"/>
    </i>
    <i>
      <x v="123"/>
    </i>
    <i>
      <x v="49"/>
    </i>
    <i>
      <x v="29"/>
    </i>
    <i>
      <x v="55"/>
    </i>
    <i>
      <x v="135"/>
    </i>
    <i>
      <x v="67"/>
    </i>
    <i>
      <x v="139"/>
    </i>
    <i>
      <x v="116"/>
    </i>
    <i>
      <x v="1"/>
    </i>
    <i>
      <x v="117"/>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ABFEC-0257-4B09-9984-0D7B732422CF}"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1" firstDataRow="2"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showAll="0"/>
    <pivotField showAll="0"/>
    <pivotField showAll="0"/>
    <pivotField showAll="0"/>
    <pivotField dataField="1" showAll="0">
      <items count="14">
        <item x="1"/>
        <item x="4"/>
        <item x="7"/>
        <item x="11"/>
        <item x="5"/>
        <item x="8"/>
        <item x="6"/>
        <item x="3"/>
        <item x="9"/>
        <item x="2"/>
        <item x="12"/>
        <item x="0"/>
        <item x="10"/>
        <item t="default"/>
      </items>
    </pivotField>
    <pivotField axis="axisCol" showAll="0">
      <items count="3">
        <item x="1"/>
        <item x="0"/>
        <item t="default"/>
      </items>
    </pivotField>
    <pivotField showAll="0"/>
    <pivotField axis="axisRow" showAll="0" sortType="descending">
      <items count="15">
        <item x="1"/>
        <item x="6"/>
        <item x="2"/>
        <item x="13"/>
        <item x="5"/>
        <item x="9"/>
        <item x="0"/>
        <item x="7"/>
        <item x="10"/>
        <item x="8"/>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10"/>
    </i>
    <i>
      <x v="4"/>
    </i>
    <i>
      <x/>
    </i>
    <i>
      <x v="2"/>
    </i>
    <i>
      <x v="7"/>
    </i>
    <i>
      <x v="6"/>
    </i>
    <i>
      <x v="12"/>
    </i>
    <i>
      <x v="1"/>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AC51C-3666-4F15-A14B-7DCABA59F498}" name="Top 10 Winn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4" firstHeaderRow="1" firstDataRow="2"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showAll="0"/>
    <pivotField axis="axisRow" showAll="0" measureFilter="1" sortType="ascending">
      <items count="36">
        <item x="19"/>
        <item x="17"/>
        <item x="13"/>
        <item x="15"/>
        <item x="8"/>
        <item x="24"/>
        <item x="30"/>
        <item x="4"/>
        <item x="2"/>
        <item x="34"/>
        <item x="21"/>
        <item x="23"/>
        <item x="27"/>
        <item x="11"/>
        <item x="0"/>
        <item x="7"/>
        <item x="31"/>
        <item x="22"/>
        <item x="14"/>
        <item x="9"/>
        <item x="16"/>
        <item x="32"/>
        <item x="1"/>
        <item x="6"/>
        <item x="18"/>
        <item x="33"/>
        <item x="5"/>
        <item x="26"/>
        <item x="29"/>
        <item x="28"/>
        <item x="10"/>
        <item x="25"/>
        <item x="12"/>
        <item x="20"/>
        <item x="3"/>
        <item t="default"/>
      </items>
      <autoSortScope>
        <pivotArea dataOnly="0" outline="0" fieldPosition="0">
          <references count="2">
            <reference field="4294967294" count="1" selected="0">
              <x v="0"/>
            </reference>
            <reference field="9" count="1" selected="0">
              <x v="0"/>
            </reference>
          </references>
        </pivotArea>
      </autoSortScope>
    </pivotField>
    <pivotField showAll="0"/>
    <pivotField showAll="0"/>
    <pivotField showAll="0">
      <items count="14">
        <item x="1"/>
        <item x="4"/>
        <item x="7"/>
        <item x="11"/>
        <item x="5"/>
        <item x="8"/>
        <item x="6"/>
        <item x="3"/>
        <item x="9"/>
        <item x="2"/>
        <item x="12"/>
        <item x="0"/>
        <item x="10"/>
        <item t="default"/>
      </items>
    </pivotField>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0">
    <i>
      <x v="4"/>
    </i>
    <i>
      <x v="14"/>
    </i>
    <i>
      <x v="8"/>
    </i>
    <i>
      <x v="34"/>
    </i>
    <i>
      <x v="26"/>
    </i>
    <i>
      <x v="15"/>
    </i>
    <i>
      <x v="22"/>
    </i>
    <i>
      <x v="23"/>
    </i>
    <i>
      <x v="7"/>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4CA07-93B8-45C0-A9CB-189F76C0CA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1"/>
        <item x="6"/>
        <item x="2"/>
        <item x="13"/>
        <item x="5"/>
        <item x="9"/>
        <item x="0"/>
        <item x="7"/>
        <item x="10"/>
        <item x="8"/>
        <item x="4"/>
        <item x="12"/>
        <item x="3"/>
        <item x="1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D1EE6D-87EA-4C66-86B1-6FF6BB9CA6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x="0"/>
        <item h="1" x="1"/>
        <item h="1" x="2"/>
        <item h="1" x="3"/>
        <item h="1" x="4"/>
        <item h="1" x="5"/>
        <item h="1" x="6"/>
        <item h="1" x="7"/>
        <item h="1" x="8"/>
        <item h="1" x="9"/>
        <item h="1"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0609FA-7E3F-40B4-BD71-D41CB748926B}"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F70E0422-6572-4B0C-8138-2BF4643CB528}" sourceName="Season">
  <pivotTables>
    <pivotTable tabId="8" name="PivotTable6"/>
    <pivotTable tabId="6" name="PivotTable4"/>
    <pivotTable tabId="3" name="Matches win"/>
    <pivotTable tabId="5" name="Top 10 Winners"/>
    <pivotTable tabId="4" name="PivotTable2"/>
  </pivotTables>
  <data>
    <tabular pivotCacheId="854473480">
      <items count="11">
        <i x="0" s="1"/>
        <i x="1"/>
        <i x="2"/>
        <i x="3"/>
        <i x="4"/>
        <i x="5"/>
        <i x="6"/>
        <i x="7"/>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01A4C79E-6FD8-4632-8E59-C95A88A5A512}" cache="Slicer_Season2"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794BA20-775F-4411-852D-68B686C0FEFB}" cache="Slicer_Season2" caption="Season" startItem="3"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3F658311-EA41-47DC-92BB-CEFDCEF8FA71}" cache="Slicer_Season2"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04168FDC-B2B0-41A5-A979-BEA648F4AF1E}" cache="Slicer_Season2"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1FDD1B-B4A8-4C60-8C1E-AD4C9FA13162}" name="Table24" displayName="Table24" ref="C11:G22" totalsRowShown="0" headerRowDxfId="33" headerRowBorderDxfId="32" tableBorderDxfId="31" totalsRowBorderDxfId="30">
  <autoFilter ref="C11:G22" xr:uid="{6A1FDD1B-B4A8-4C60-8C1E-AD4C9FA13162}"/>
  <tableColumns count="5">
    <tableColumn id="1" xr3:uid="{6D409867-088F-4905-8815-02CB18C6373A}" name="Season" dataDxfId="29"/>
    <tableColumn id="2" xr3:uid="{9C2E6DBF-C1D9-4134-8752-73737ADA2662}" name="Winner" dataDxfId="28"/>
    <tableColumn id="3" xr3:uid="{4BD4F22A-6DC0-4637-965A-34AD92DB65BF}" name="Runner Up" dataDxfId="27"/>
    <tableColumn id="4" xr3:uid="{3C1A445E-EBA4-441E-9336-5C536CF78B86}" name="Player of the Match" dataDxfId="26"/>
    <tableColumn id="5" xr3:uid="{3CF10B10-5D35-494D-BBD4-4C2005E6E76E}" name="Player of the Series"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3FDC9-D602-445E-8838-12037036C0D5}" name="Table1" displayName="Table1" ref="A1:P697">
  <autoFilter ref="A1:P697" xr:uid="{EB93FDC9-D602-445E-8838-12037036C0D5}"/>
  <sortState xmlns:xlrd2="http://schemas.microsoft.com/office/spreadsheetml/2017/richdata2" ref="A2:P697">
    <sortCondition ref="C1:C697"/>
  </sortState>
  <tableColumns count="16">
    <tableColumn id="1" xr3:uid="{91F02E35-DC41-45D6-A29D-331EE25B0E8B}" name="id" totalsRowLabel="Total" totalsRowDxfId="24"/>
    <tableColumn id="2" xr3:uid="{6F89ADDE-A7BA-4B1F-A0DF-D37D6F1DF037}" name="city" totalsRowDxfId="23"/>
    <tableColumn id="3" xr3:uid="{9159A2E5-DB3B-4A25-9908-1F876EBA7687}" name="Season" totalsRowDxfId="22"/>
    <tableColumn id="4" xr3:uid="{CC684BFA-7B7E-4D03-B3D0-A6D854A010D5}" name="date" totalsRowDxfId="21"/>
    <tableColumn id="5" xr3:uid="{076F845E-7669-4D8D-83F8-775FD0C96268}" name="player_of_match" totalsRowDxfId="20"/>
    <tableColumn id="6" xr3:uid="{DA56D79F-F4C2-48A8-9CA1-85005F8DC15A}" name="venue" totalsRowDxfId="19"/>
    <tableColumn id="7" xr3:uid="{496B8E00-A689-41B1-BFF3-4F190361B4F1}" name="team1" totalsRowDxfId="18"/>
    <tableColumn id="8" xr3:uid="{C791837E-EF63-4134-B68B-4A34F0469CDD}" name="team2" totalsRowDxfId="17"/>
    <tableColumn id="9" xr3:uid="{11A06C59-9EBC-422B-A228-03CD4AE7D024}" name="toss_winner" totalsRowDxfId="16"/>
    <tableColumn id="10" xr3:uid="{F214E244-B22B-4624-8E68-0E9042D48CB3}" name="toss_decision" totalsRowDxfId="15"/>
    <tableColumn id="11" xr3:uid="{B2327D8E-706E-4876-B7EE-2B43407E4877}" name="result" totalsRowDxfId="14"/>
    <tableColumn id="12" xr3:uid="{CF091F10-E29E-46D9-993C-61E4B97B995C}" name="winner" totalsRowDxfId="13"/>
    <tableColumn id="13" xr3:uid="{C7AE2D60-FE00-4674-9346-94C71C71E4B7}" name="win_by_runs" totalsRowDxfId="12"/>
    <tableColumn id="14" xr3:uid="{3DCD31CB-1368-401B-AEB8-084DB49864F4}" name="win_by_wickets" totalsRowDxfId="11"/>
    <tableColumn id="15" xr3:uid="{0731AA4D-2A6B-4E99-AEF9-88D766D11CB7}" name="umpire1" totalsRowDxfId="10"/>
    <tableColumn id="16" xr3:uid="{9F4C1D52-94EE-4277-9086-0BACC9304133}" name="umpire2" totalsRowFunction="count" totalsRowDxfId="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889574-7C3A-4A9C-B0E4-E10C80CE0011}" name="Table2" displayName="Table2" ref="A1:E12" totalsRowShown="0" headerRowDxfId="8" headerRowBorderDxfId="7" tableBorderDxfId="6" totalsRowBorderDxfId="5">
  <autoFilter ref="A1:E12" xr:uid="{81889574-7C3A-4A9C-B0E4-E10C80CE0011}"/>
  <tableColumns count="5">
    <tableColumn id="1" xr3:uid="{FC502E00-A9F5-4BD1-9946-71AF375B31D9}" name="Season" dataDxfId="4"/>
    <tableColumn id="2" xr3:uid="{78E2D190-E791-4F3F-815A-8DCDBB2596F7}" name="Winner" dataDxfId="3"/>
    <tableColumn id="3" xr3:uid="{B4AACF0E-E794-4CD8-8F6B-E96C1293A419}" name="Runner Up" dataDxfId="2"/>
    <tableColumn id="4" xr3:uid="{19EBC2BE-A36B-4173-A53A-81F0A5D11261}" name="Player of the Match" dataDxfId="1"/>
    <tableColumn id="5" xr3:uid="{187C3635-5D22-45FA-8124-B96476AA4E1B}"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7AF51-AC67-4E7A-8604-F5B5C70E04DC}">
  <dimension ref="A3:E44"/>
  <sheetViews>
    <sheetView workbookViewId="0">
      <selection activeCell="L22" sqref="L22"/>
    </sheetView>
  </sheetViews>
  <sheetFormatPr defaultRowHeight="15.6" x14ac:dyDescent="0.3"/>
  <cols>
    <col min="1" max="1" width="17.5" bestFit="1" customWidth="1"/>
    <col min="2" max="2" width="23.09765625" bestFit="1" customWidth="1"/>
    <col min="4" max="4" width="13.69921875" customWidth="1"/>
    <col min="5" max="5" width="15.8984375" customWidth="1"/>
  </cols>
  <sheetData>
    <row r="3" spans="1:5" x14ac:dyDescent="0.3">
      <c r="A3" s="7" t="s">
        <v>420</v>
      </c>
      <c r="B3" t="s">
        <v>425</v>
      </c>
    </row>
    <row r="4" spans="1:5" x14ac:dyDescent="0.3">
      <c r="A4" s="8" t="s">
        <v>206</v>
      </c>
      <c r="B4">
        <v>5</v>
      </c>
      <c r="D4" t="s">
        <v>387</v>
      </c>
      <c r="E4" t="s">
        <v>426</v>
      </c>
    </row>
    <row r="5" spans="1:5" x14ac:dyDescent="0.3">
      <c r="A5" s="8" t="s">
        <v>16</v>
      </c>
      <c r="B5">
        <v>4</v>
      </c>
      <c r="D5" t="str">
        <f>A4</f>
        <v>SE Marsh</v>
      </c>
      <c r="E5">
        <f>GETPIVOTDATA("player_of_match",$A$3,"player_of_match",A4)</f>
        <v>5</v>
      </c>
    </row>
    <row r="6" spans="1:5" x14ac:dyDescent="0.3">
      <c r="A6" s="8" t="s">
        <v>157</v>
      </c>
      <c r="B6">
        <v>4</v>
      </c>
      <c r="D6" t="str">
        <f t="shared" ref="D6:D14" si="0">A5</f>
        <v>SR Watson</v>
      </c>
      <c r="E6">
        <f t="shared" ref="E6:E14" si="1">GETPIVOTDATA("player_of_match",$A$3,"player_of_match",A5)</f>
        <v>4</v>
      </c>
    </row>
    <row r="7" spans="1:5" x14ac:dyDescent="0.3">
      <c r="A7" s="8" t="s">
        <v>366</v>
      </c>
      <c r="B7">
        <v>2</v>
      </c>
      <c r="D7" t="str">
        <f t="shared" si="0"/>
        <v>YK Pathan</v>
      </c>
      <c r="E7">
        <f t="shared" si="1"/>
        <v>4</v>
      </c>
    </row>
    <row r="8" spans="1:5" x14ac:dyDescent="0.3">
      <c r="A8" s="8" t="s">
        <v>370</v>
      </c>
      <c r="B8">
        <v>2</v>
      </c>
      <c r="D8" t="str">
        <f t="shared" si="0"/>
        <v>M Ntini</v>
      </c>
      <c r="E8">
        <f t="shared" si="1"/>
        <v>2</v>
      </c>
    </row>
    <row r="9" spans="1:5" x14ac:dyDescent="0.3">
      <c r="A9" s="8" t="s">
        <v>375</v>
      </c>
      <c r="B9">
        <v>2</v>
      </c>
      <c r="D9" t="str">
        <f t="shared" si="0"/>
        <v>Sohail Tanvir</v>
      </c>
      <c r="E9">
        <f t="shared" si="1"/>
        <v>2</v>
      </c>
    </row>
    <row r="10" spans="1:5" x14ac:dyDescent="0.3">
      <c r="A10" s="8" t="s">
        <v>243</v>
      </c>
      <c r="B10">
        <v>2</v>
      </c>
      <c r="D10" t="str">
        <f t="shared" si="0"/>
        <v>SM Pollock</v>
      </c>
      <c r="E10">
        <f t="shared" si="1"/>
        <v>2</v>
      </c>
    </row>
    <row r="11" spans="1:5" x14ac:dyDescent="0.3">
      <c r="A11" s="8" t="s">
        <v>269</v>
      </c>
      <c r="B11">
        <v>2</v>
      </c>
      <c r="D11" t="str">
        <f t="shared" si="0"/>
        <v>AC Gilchrist</v>
      </c>
      <c r="E11">
        <f t="shared" si="1"/>
        <v>2</v>
      </c>
    </row>
    <row r="12" spans="1:5" x14ac:dyDescent="0.3">
      <c r="A12" s="8" t="s">
        <v>376</v>
      </c>
      <c r="B12">
        <v>2</v>
      </c>
      <c r="D12" t="str">
        <f t="shared" si="0"/>
        <v>SC Ganguly</v>
      </c>
      <c r="E12">
        <f t="shared" si="1"/>
        <v>2</v>
      </c>
    </row>
    <row r="13" spans="1:5" x14ac:dyDescent="0.3">
      <c r="A13" s="8" t="s">
        <v>87</v>
      </c>
      <c r="B13">
        <v>2</v>
      </c>
      <c r="D13" t="str">
        <f t="shared" si="0"/>
        <v>ST Jayasuriya</v>
      </c>
      <c r="E13">
        <f t="shared" si="1"/>
        <v>2</v>
      </c>
    </row>
    <row r="14" spans="1:5" x14ac:dyDescent="0.3">
      <c r="A14" s="8" t="s">
        <v>214</v>
      </c>
      <c r="B14">
        <v>2</v>
      </c>
      <c r="D14" t="str">
        <f t="shared" si="0"/>
        <v>MS Dhoni</v>
      </c>
      <c r="E14">
        <f t="shared" si="1"/>
        <v>2</v>
      </c>
    </row>
    <row r="15" spans="1:5" x14ac:dyDescent="0.3">
      <c r="A15" s="8" t="s">
        <v>379</v>
      </c>
      <c r="B15">
        <v>1</v>
      </c>
    </row>
    <row r="16" spans="1:5" x14ac:dyDescent="0.3">
      <c r="A16" s="8" t="s">
        <v>374</v>
      </c>
      <c r="B16">
        <v>1</v>
      </c>
    </row>
    <row r="17" spans="1:2" x14ac:dyDescent="0.3">
      <c r="A17" s="8" t="s">
        <v>144</v>
      </c>
      <c r="B17">
        <v>1</v>
      </c>
    </row>
    <row r="18" spans="1:2" x14ac:dyDescent="0.3">
      <c r="A18" s="8" t="s">
        <v>298</v>
      </c>
      <c r="B18">
        <v>1</v>
      </c>
    </row>
    <row r="19" spans="1:2" x14ac:dyDescent="0.3">
      <c r="A19" s="8" t="s">
        <v>251</v>
      </c>
      <c r="B19">
        <v>1</v>
      </c>
    </row>
    <row r="20" spans="1:2" x14ac:dyDescent="0.3">
      <c r="A20" s="8" t="s">
        <v>382</v>
      </c>
      <c r="B20">
        <v>1</v>
      </c>
    </row>
    <row r="21" spans="1:2" x14ac:dyDescent="0.3">
      <c r="A21" s="8" t="s">
        <v>101</v>
      </c>
      <c r="B21">
        <v>1</v>
      </c>
    </row>
    <row r="22" spans="1:2" x14ac:dyDescent="0.3">
      <c r="A22" s="8" t="s">
        <v>266</v>
      </c>
      <c r="B22">
        <v>1</v>
      </c>
    </row>
    <row r="23" spans="1:2" x14ac:dyDescent="0.3">
      <c r="A23" s="8" t="s">
        <v>264</v>
      </c>
      <c r="B23">
        <v>1</v>
      </c>
    </row>
    <row r="24" spans="1:2" x14ac:dyDescent="0.3">
      <c r="A24" s="8" t="s">
        <v>255</v>
      </c>
      <c r="B24">
        <v>1</v>
      </c>
    </row>
    <row r="25" spans="1:2" x14ac:dyDescent="0.3">
      <c r="A25" s="8" t="s">
        <v>380</v>
      </c>
      <c r="B25">
        <v>1</v>
      </c>
    </row>
    <row r="26" spans="1:2" x14ac:dyDescent="0.3">
      <c r="A26" s="8" t="s">
        <v>275</v>
      </c>
      <c r="B26">
        <v>1</v>
      </c>
    </row>
    <row r="27" spans="1:2" x14ac:dyDescent="0.3">
      <c r="A27" s="8" t="s">
        <v>378</v>
      </c>
      <c r="B27">
        <v>1</v>
      </c>
    </row>
    <row r="28" spans="1:2" x14ac:dyDescent="0.3">
      <c r="A28" s="8" t="s">
        <v>168</v>
      </c>
      <c r="B28">
        <v>1</v>
      </c>
    </row>
    <row r="29" spans="1:2" x14ac:dyDescent="0.3">
      <c r="A29" s="8" t="s">
        <v>367</v>
      </c>
      <c r="B29">
        <v>1</v>
      </c>
    </row>
    <row r="30" spans="1:2" x14ac:dyDescent="0.3">
      <c r="A30" s="8" t="s">
        <v>371</v>
      </c>
      <c r="B30">
        <v>1</v>
      </c>
    </row>
    <row r="31" spans="1:2" x14ac:dyDescent="0.3">
      <c r="A31" s="8" t="s">
        <v>377</v>
      </c>
      <c r="B31">
        <v>1</v>
      </c>
    </row>
    <row r="32" spans="1:2" x14ac:dyDescent="0.3">
      <c r="A32" s="8" t="s">
        <v>36</v>
      </c>
      <c r="B32">
        <v>1</v>
      </c>
    </row>
    <row r="33" spans="1:2" x14ac:dyDescent="0.3">
      <c r="A33" s="8" t="s">
        <v>381</v>
      </c>
      <c r="B33">
        <v>1</v>
      </c>
    </row>
    <row r="34" spans="1:2" x14ac:dyDescent="0.3">
      <c r="A34" s="8" t="s">
        <v>327</v>
      </c>
      <c r="B34">
        <v>1</v>
      </c>
    </row>
    <row r="35" spans="1:2" x14ac:dyDescent="0.3">
      <c r="A35" s="8" t="s">
        <v>304</v>
      </c>
      <c r="B35">
        <v>1</v>
      </c>
    </row>
    <row r="36" spans="1:2" x14ac:dyDescent="0.3">
      <c r="A36" s="8" t="s">
        <v>201</v>
      </c>
      <c r="B36">
        <v>1</v>
      </c>
    </row>
    <row r="37" spans="1:2" x14ac:dyDescent="0.3">
      <c r="A37" s="8" t="s">
        <v>353</v>
      </c>
      <c r="B37">
        <v>1</v>
      </c>
    </row>
    <row r="38" spans="1:2" x14ac:dyDescent="0.3">
      <c r="A38" s="8" t="s">
        <v>356</v>
      </c>
      <c r="B38">
        <v>1</v>
      </c>
    </row>
    <row r="39" spans="1:2" x14ac:dyDescent="0.3">
      <c r="A39" s="8" t="s">
        <v>277</v>
      </c>
      <c r="B39">
        <v>1</v>
      </c>
    </row>
    <row r="40" spans="1:2" x14ac:dyDescent="0.3">
      <c r="A40" s="8" t="s">
        <v>169</v>
      </c>
      <c r="B40">
        <v>1</v>
      </c>
    </row>
    <row r="41" spans="1:2" x14ac:dyDescent="0.3">
      <c r="A41" s="8" t="s">
        <v>215</v>
      </c>
      <c r="B41">
        <v>1</v>
      </c>
    </row>
    <row r="42" spans="1:2" x14ac:dyDescent="0.3">
      <c r="A42" s="8" t="s">
        <v>310</v>
      </c>
      <c r="B42">
        <v>1</v>
      </c>
    </row>
    <row r="43" spans="1:2" x14ac:dyDescent="0.3">
      <c r="A43" s="8" t="s">
        <v>383</v>
      </c>
      <c r="B43">
        <v>1</v>
      </c>
    </row>
    <row r="44" spans="1:2" x14ac:dyDescent="0.3">
      <c r="A44" s="8" t="s">
        <v>421</v>
      </c>
      <c r="B44">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785B3-4E2F-4C91-AEAE-F6ADE89B3AC7}">
  <dimension ref="A3:D13"/>
  <sheetViews>
    <sheetView zoomScale="72" workbookViewId="0">
      <selection activeCell="A7" sqref="A7"/>
    </sheetView>
  </sheetViews>
  <sheetFormatPr defaultRowHeight="15.6" x14ac:dyDescent="0.3"/>
  <cols>
    <col min="1" max="1" width="24.8984375" bestFit="1" customWidth="1"/>
    <col min="2" max="2" width="15.69921875" bestFit="1" customWidth="1"/>
    <col min="3" max="3" width="4.59765625" bestFit="1" customWidth="1"/>
    <col min="4" max="4" width="10.8984375" bestFit="1" customWidth="1"/>
  </cols>
  <sheetData>
    <row r="3" spans="1:4" x14ac:dyDescent="0.3">
      <c r="A3" s="7" t="s">
        <v>422</v>
      </c>
      <c r="B3" s="7" t="s">
        <v>423</v>
      </c>
    </row>
    <row r="4" spans="1:4" x14ac:dyDescent="0.3">
      <c r="A4" s="7" t="s">
        <v>420</v>
      </c>
      <c r="B4" t="s">
        <v>40</v>
      </c>
      <c r="C4" t="s">
        <v>20</v>
      </c>
      <c r="D4" t="s">
        <v>421</v>
      </c>
    </row>
    <row r="5" spans="1:4" x14ac:dyDescent="0.3">
      <c r="A5" s="8" t="s">
        <v>31</v>
      </c>
      <c r="B5">
        <v>4</v>
      </c>
      <c r="C5">
        <v>9</v>
      </c>
      <c r="D5">
        <v>13</v>
      </c>
    </row>
    <row r="6" spans="1:4" x14ac:dyDescent="0.3">
      <c r="A6" s="8" t="s">
        <v>45</v>
      </c>
      <c r="B6">
        <v>4</v>
      </c>
      <c r="C6">
        <v>6</v>
      </c>
      <c r="D6">
        <v>10</v>
      </c>
    </row>
    <row r="7" spans="1:4" x14ac:dyDescent="0.3">
      <c r="A7" s="8" t="s">
        <v>19</v>
      </c>
      <c r="B7">
        <v>6</v>
      </c>
      <c r="C7">
        <v>3</v>
      </c>
      <c r="D7">
        <v>9</v>
      </c>
    </row>
    <row r="8" spans="1:4" x14ac:dyDescent="0.3">
      <c r="A8" s="8" t="s">
        <v>38</v>
      </c>
      <c r="B8">
        <v>3</v>
      </c>
      <c r="C8">
        <v>4</v>
      </c>
      <c r="D8">
        <v>7</v>
      </c>
    </row>
    <row r="9" spans="1:4" x14ac:dyDescent="0.3">
      <c r="A9" s="8" t="s">
        <v>39</v>
      </c>
      <c r="B9">
        <v>1</v>
      </c>
      <c r="C9">
        <v>6</v>
      </c>
      <c r="D9">
        <v>7</v>
      </c>
    </row>
    <row r="10" spans="1:4" x14ac:dyDescent="0.3">
      <c r="A10" s="8" t="s">
        <v>27</v>
      </c>
      <c r="B10">
        <v>5</v>
      </c>
      <c r="C10">
        <v>1</v>
      </c>
      <c r="D10">
        <v>6</v>
      </c>
    </row>
    <row r="11" spans="1:4" x14ac:dyDescent="0.3">
      <c r="A11" s="8" t="s">
        <v>50</v>
      </c>
      <c r="B11">
        <v>3</v>
      </c>
      <c r="C11">
        <v>1</v>
      </c>
      <c r="D11">
        <v>4</v>
      </c>
    </row>
    <row r="12" spans="1:4" x14ac:dyDescent="0.3">
      <c r="A12" s="8" t="s">
        <v>260</v>
      </c>
      <c r="C12">
        <v>2</v>
      </c>
      <c r="D12">
        <v>2</v>
      </c>
    </row>
    <row r="13" spans="1:4" x14ac:dyDescent="0.3">
      <c r="A13" s="8" t="s">
        <v>421</v>
      </c>
      <c r="B13">
        <v>26</v>
      </c>
      <c r="C13">
        <v>32</v>
      </c>
      <c r="D13">
        <v>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98EA-D11A-4E7F-AE5C-EFEE7EB010B3}">
  <dimension ref="A3:D14"/>
  <sheetViews>
    <sheetView workbookViewId="0">
      <selection activeCell="B7" sqref="B7"/>
    </sheetView>
  </sheetViews>
  <sheetFormatPr defaultRowHeight="15.6" x14ac:dyDescent="0.3"/>
  <cols>
    <col min="1" max="1" width="38" bestFit="1" customWidth="1"/>
    <col min="2" max="2" width="15.19921875" bestFit="1" customWidth="1"/>
    <col min="3" max="3" width="4.59765625" bestFit="1" customWidth="1"/>
    <col min="4" max="4" width="10.8984375" bestFit="1" customWidth="1"/>
  </cols>
  <sheetData>
    <row r="3" spans="1:4" x14ac:dyDescent="0.3">
      <c r="A3" s="7" t="s">
        <v>424</v>
      </c>
      <c r="B3" s="7" t="s">
        <v>423</v>
      </c>
    </row>
    <row r="4" spans="1:4" x14ac:dyDescent="0.3">
      <c r="A4" s="7" t="s">
        <v>420</v>
      </c>
      <c r="B4" t="s">
        <v>40</v>
      </c>
      <c r="C4" t="s">
        <v>20</v>
      </c>
      <c r="D4" t="s">
        <v>421</v>
      </c>
    </row>
    <row r="5" spans="1:4" x14ac:dyDescent="0.3">
      <c r="A5" s="8" t="s">
        <v>285</v>
      </c>
      <c r="C5">
        <v>4</v>
      </c>
      <c r="D5">
        <v>4</v>
      </c>
    </row>
    <row r="6" spans="1:4" x14ac:dyDescent="0.3">
      <c r="A6" s="8" t="s">
        <v>60</v>
      </c>
      <c r="B6">
        <v>1</v>
      </c>
      <c r="C6">
        <v>6</v>
      </c>
      <c r="D6">
        <v>7</v>
      </c>
    </row>
    <row r="7" spans="1:4" x14ac:dyDescent="0.3">
      <c r="A7" s="8" t="s">
        <v>37</v>
      </c>
      <c r="B7">
        <v>2</v>
      </c>
      <c r="C7">
        <v>4</v>
      </c>
      <c r="D7">
        <v>6</v>
      </c>
    </row>
    <row r="8" spans="1:4" x14ac:dyDescent="0.3">
      <c r="A8" s="8" t="s">
        <v>17</v>
      </c>
      <c r="B8">
        <v>2</v>
      </c>
      <c r="C8">
        <v>4</v>
      </c>
      <c r="D8">
        <v>6</v>
      </c>
    </row>
    <row r="9" spans="1:4" x14ac:dyDescent="0.3">
      <c r="A9" s="8" t="s">
        <v>49</v>
      </c>
      <c r="B9">
        <v>3</v>
      </c>
      <c r="C9">
        <v>4</v>
      </c>
      <c r="D9">
        <v>7</v>
      </c>
    </row>
    <row r="10" spans="1:4" x14ac:dyDescent="0.3">
      <c r="A10" s="8" t="s">
        <v>100</v>
      </c>
      <c r="B10">
        <v>4</v>
      </c>
      <c r="C10">
        <v>3</v>
      </c>
      <c r="D10">
        <v>7</v>
      </c>
    </row>
    <row r="11" spans="1:4" x14ac:dyDescent="0.3">
      <c r="A11" s="8" t="s">
        <v>188</v>
      </c>
      <c r="B11">
        <v>4</v>
      </c>
      <c r="C11">
        <v>3</v>
      </c>
      <c r="D11">
        <v>7</v>
      </c>
    </row>
    <row r="12" spans="1:4" x14ac:dyDescent="0.3">
      <c r="A12" s="8" t="s">
        <v>55</v>
      </c>
      <c r="B12">
        <v>4</v>
      </c>
      <c r="C12">
        <v>3</v>
      </c>
      <c r="D12">
        <v>7</v>
      </c>
    </row>
    <row r="13" spans="1:4" x14ac:dyDescent="0.3">
      <c r="A13" s="8" t="s">
        <v>26</v>
      </c>
      <c r="B13">
        <v>6</v>
      </c>
      <c r="C13">
        <v>1</v>
      </c>
      <c r="D13">
        <v>7</v>
      </c>
    </row>
    <row r="14" spans="1:4" x14ac:dyDescent="0.3">
      <c r="A14" s="8" t="s">
        <v>421</v>
      </c>
      <c r="B14">
        <v>26</v>
      </c>
      <c r="C14">
        <v>32</v>
      </c>
      <c r="D14">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002C-83B3-4626-9210-3895C6212D0F}">
  <dimension ref="A3:B6"/>
  <sheetViews>
    <sheetView workbookViewId="0">
      <selection activeCell="B4" sqref="B4"/>
    </sheetView>
  </sheetViews>
  <sheetFormatPr defaultRowHeight="15.6" x14ac:dyDescent="0.3"/>
  <cols>
    <col min="1" max="1" width="12.296875" bestFit="1" customWidth="1"/>
    <col min="2" max="2" width="14.69921875" bestFit="1" customWidth="1"/>
  </cols>
  <sheetData>
    <row r="3" spans="1:2" x14ac:dyDescent="0.3">
      <c r="A3" s="7" t="s">
        <v>420</v>
      </c>
      <c r="B3" t="s">
        <v>424</v>
      </c>
    </row>
    <row r="4" spans="1:2" x14ac:dyDescent="0.3">
      <c r="A4" s="8" t="s">
        <v>40</v>
      </c>
      <c r="B4">
        <v>26</v>
      </c>
    </row>
    <row r="5" spans="1:2" x14ac:dyDescent="0.3">
      <c r="A5" s="8" t="s">
        <v>20</v>
      </c>
      <c r="B5">
        <v>32</v>
      </c>
    </row>
    <row r="6" spans="1:2" x14ac:dyDescent="0.3">
      <c r="A6" s="8" t="s">
        <v>421</v>
      </c>
      <c r="B6">
        <v>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E29F-D76C-42A6-980D-463112631BA7}">
  <dimension ref="A3:H22"/>
  <sheetViews>
    <sheetView workbookViewId="0">
      <selection activeCell="G34" sqref="G34"/>
    </sheetView>
  </sheetViews>
  <sheetFormatPr defaultRowHeight="15.6" x14ac:dyDescent="0.3"/>
  <cols>
    <col min="1" max="1" width="12.296875" bestFit="1" customWidth="1"/>
    <col min="4" max="4" width="9.09765625" customWidth="1"/>
    <col min="5" max="5" width="14.59765625" bestFit="1" customWidth="1"/>
    <col min="6" max="6" width="18.09765625" bestFit="1" customWidth="1"/>
    <col min="7" max="7" width="12.69921875" bestFit="1" customWidth="1"/>
    <col min="8" max="8" width="13.09765625" bestFit="1" customWidth="1"/>
  </cols>
  <sheetData>
    <row r="3" spans="1:8" x14ac:dyDescent="0.3">
      <c r="A3" s="7" t="s">
        <v>420</v>
      </c>
    </row>
    <row r="4" spans="1:8" ht="28.8" x14ac:dyDescent="0.3">
      <c r="A4" s="8" t="s">
        <v>418</v>
      </c>
      <c r="D4" s="2" t="s">
        <v>384</v>
      </c>
      <c r="E4" s="2" t="s">
        <v>385</v>
      </c>
      <c r="F4" s="2" t="s">
        <v>386</v>
      </c>
      <c r="G4" s="2" t="s">
        <v>387</v>
      </c>
      <c r="H4" s="2" t="s">
        <v>388</v>
      </c>
    </row>
    <row r="5" spans="1:8" x14ac:dyDescent="0.3">
      <c r="A5" s="8" t="s">
        <v>421</v>
      </c>
      <c r="D5" t="str">
        <f>A4</f>
        <v>IPL-2008</v>
      </c>
      <c r="E5" t="str">
        <f>VLOOKUP(D5,Table24[],2,FALSE)</f>
        <v>Rajasthan Royals</v>
      </c>
      <c r="F5" t="str">
        <f>VLOOKUP(D5,Table24[],3,FALSE)</f>
        <v>Chennai Super Kings</v>
      </c>
      <c r="G5" t="str">
        <f>VLOOKUP(D5,Table24[],4,FALSE)</f>
        <v>Yusuf Pathan</v>
      </c>
      <c r="H5" t="str">
        <f>VLOOKUP(D5,Table24[],5,FALSE)</f>
        <v>Shane Watson</v>
      </c>
    </row>
    <row r="11" spans="1:8" ht="28.8" x14ac:dyDescent="0.3">
      <c r="C11" s="12" t="s">
        <v>384</v>
      </c>
      <c r="D11" s="13" t="s">
        <v>385</v>
      </c>
      <c r="E11" s="13" t="s">
        <v>386</v>
      </c>
      <c r="F11" s="13" t="s">
        <v>387</v>
      </c>
      <c r="G11" s="14" t="s">
        <v>388</v>
      </c>
    </row>
    <row r="12" spans="1:8" ht="43.2" x14ac:dyDescent="0.3">
      <c r="C12" s="9" t="s">
        <v>390</v>
      </c>
      <c r="D12" s="4" t="s">
        <v>19</v>
      </c>
      <c r="E12" s="3" t="s">
        <v>18</v>
      </c>
      <c r="F12" s="3" t="s">
        <v>391</v>
      </c>
      <c r="G12" s="10" t="s">
        <v>392</v>
      </c>
    </row>
    <row r="13" spans="1:8" ht="28.8" x14ac:dyDescent="0.3">
      <c r="C13" s="9" t="s">
        <v>393</v>
      </c>
      <c r="D13" s="2" t="s">
        <v>39</v>
      </c>
      <c r="E13" s="5" t="s">
        <v>394</v>
      </c>
      <c r="F13" s="5" t="s">
        <v>395</v>
      </c>
      <c r="G13" s="11" t="s">
        <v>396</v>
      </c>
    </row>
    <row r="14" spans="1:8" ht="43.2" x14ac:dyDescent="0.3">
      <c r="C14" s="9" t="s">
        <v>397</v>
      </c>
      <c r="D14" s="4" t="s">
        <v>18</v>
      </c>
      <c r="E14" s="3" t="s">
        <v>50</v>
      </c>
      <c r="F14" s="3" t="s">
        <v>398</v>
      </c>
      <c r="G14" s="10" t="s">
        <v>399</v>
      </c>
    </row>
    <row r="15" spans="1:8" ht="28.8" x14ac:dyDescent="0.3">
      <c r="C15" s="9" t="s">
        <v>400</v>
      </c>
      <c r="D15" s="2" t="s">
        <v>39</v>
      </c>
      <c r="E15" s="5" t="s">
        <v>19</v>
      </c>
      <c r="F15" s="5" t="s">
        <v>401</v>
      </c>
      <c r="G15" s="11" t="s">
        <v>389</v>
      </c>
    </row>
    <row r="16" spans="1:8" ht="43.2" x14ac:dyDescent="0.3">
      <c r="C16" s="9" t="s">
        <v>402</v>
      </c>
      <c r="D16" s="4" t="s">
        <v>27</v>
      </c>
      <c r="E16" s="3" t="s">
        <v>45</v>
      </c>
      <c r="F16" s="3" t="s">
        <v>403</v>
      </c>
      <c r="G16" s="10" t="s">
        <v>404</v>
      </c>
    </row>
    <row r="17" spans="3:7" ht="28.8" x14ac:dyDescent="0.3">
      <c r="C17" s="9" t="s">
        <v>405</v>
      </c>
      <c r="D17" s="2" t="s">
        <v>39</v>
      </c>
      <c r="E17" s="5" t="s">
        <v>19</v>
      </c>
      <c r="F17" s="5" t="s">
        <v>406</v>
      </c>
      <c r="G17" s="11" t="s">
        <v>391</v>
      </c>
    </row>
    <row r="18" spans="3:7" ht="43.2" x14ac:dyDescent="0.3">
      <c r="C18" s="9" t="s">
        <v>407</v>
      </c>
      <c r="D18" s="4" t="s">
        <v>27</v>
      </c>
      <c r="E18" s="3" t="s">
        <v>19</v>
      </c>
      <c r="F18" s="3" t="s">
        <v>408</v>
      </c>
      <c r="G18" s="10" t="s">
        <v>392</v>
      </c>
    </row>
    <row r="19" spans="3:7" ht="43.2" x14ac:dyDescent="0.3">
      <c r="C19" s="9" t="s">
        <v>409</v>
      </c>
      <c r="D19" s="2" t="s">
        <v>19</v>
      </c>
      <c r="E19" s="5" t="s">
        <v>50</v>
      </c>
      <c r="F19" s="5" t="s">
        <v>410</v>
      </c>
      <c r="G19" s="11" t="s">
        <v>411</v>
      </c>
    </row>
    <row r="20" spans="3:7" ht="43.2" x14ac:dyDescent="0.3">
      <c r="C20" s="9" t="s">
        <v>412</v>
      </c>
      <c r="D20" s="4" t="s">
        <v>19</v>
      </c>
      <c r="E20" s="3" t="s">
        <v>39</v>
      </c>
      <c r="F20" s="3" t="s">
        <v>413</v>
      </c>
      <c r="G20" s="10" t="s">
        <v>414</v>
      </c>
    </row>
    <row r="21" spans="3:7" ht="28.8" x14ac:dyDescent="0.3">
      <c r="C21" s="9" t="s">
        <v>415</v>
      </c>
      <c r="D21" s="2" t="s">
        <v>260</v>
      </c>
      <c r="E21" s="5" t="s">
        <v>50</v>
      </c>
      <c r="F21" s="5" t="s">
        <v>416</v>
      </c>
      <c r="G21" s="11" t="s">
        <v>417</v>
      </c>
    </row>
    <row r="22" spans="3:7" ht="28.8" x14ac:dyDescent="0.3">
      <c r="C22" s="15" t="s">
        <v>418</v>
      </c>
      <c r="D22" s="16" t="s">
        <v>31</v>
      </c>
      <c r="E22" s="17" t="s">
        <v>19</v>
      </c>
      <c r="F22" s="17" t="s">
        <v>419</v>
      </c>
      <c r="G22" s="18"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BBCB-5C99-4852-8AE1-D565C263A940}">
  <dimension ref="K43"/>
  <sheetViews>
    <sheetView showGridLines="0" tabSelected="1" workbookViewId="0">
      <selection activeCell="E41" sqref="E41"/>
    </sheetView>
  </sheetViews>
  <sheetFormatPr defaultRowHeight="15.6" x14ac:dyDescent="0.3"/>
  <cols>
    <col min="1" max="1" width="9" customWidth="1"/>
  </cols>
  <sheetData>
    <row r="43" spans="11:11" x14ac:dyDescent="0.3">
      <c r="K43" t="s">
        <v>428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zoomScaleNormal="100" workbookViewId="0">
      <selection activeCell="C2" sqref="C2"/>
    </sheetView>
  </sheetViews>
  <sheetFormatPr defaultRowHeight="15.6" x14ac:dyDescent="0.3"/>
  <cols>
    <col min="2" max="2" width="13.19921875" bestFit="1" customWidth="1"/>
    <col min="3" max="3" width="13.19921875" customWidth="1"/>
    <col min="4" max="4" width="10.09765625" bestFit="1" customWidth="1"/>
    <col min="5" max="5" width="16.796875" bestFit="1" customWidth="1"/>
    <col min="6" max="6" width="46.69921875" bestFit="1" customWidth="1"/>
    <col min="7" max="9" width="23.8984375" bestFit="1" customWidth="1"/>
    <col min="10" max="10" width="13.8984375" customWidth="1"/>
    <col min="12" max="12" width="23.8984375" bestFit="1" customWidth="1"/>
    <col min="13" max="13" width="13.3984375" customWidth="1"/>
    <col min="14" max="14" width="16" customWidth="1"/>
    <col min="15" max="15" width="9.59765625" customWidth="1"/>
    <col min="16" max="16" width="44.59765625" bestFit="1" customWidth="1"/>
    <col min="17" max="18" width="22" bestFit="1" customWidth="1"/>
  </cols>
  <sheetData>
    <row r="1" spans="1:16" s="1" customFormat="1" x14ac:dyDescent="0.3">
      <c r="A1" t="s">
        <v>0</v>
      </c>
      <c r="B1" t="s">
        <v>1</v>
      </c>
      <c r="C1" t="s">
        <v>384</v>
      </c>
      <c r="D1" t="s">
        <v>2</v>
      </c>
      <c r="E1" t="s">
        <v>3</v>
      </c>
      <c r="F1" t="s">
        <v>4</v>
      </c>
      <c r="G1" t="s">
        <v>5</v>
      </c>
      <c r="H1" t="s">
        <v>6</v>
      </c>
      <c r="I1" t="s">
        <v>7</v>
      </c>
      <c r="J1" t="s">
        <v>8</v>
      </c>
      <c r="K1" t="s">
        <v>9</v>
      </c>
      <c r="L1" t="s">
        <v>10</v>
      </c>
      <c r="M1" t="s">
        <v>11</v>
      </c>
      <c r="N1" t="s">
        <v>12</v>
      </c>
      <c r="O1" t="s">
        <v>13</v>
      </c>
      <c r="P1" t="s">
        <v>14</v>
      </c>
    </row>
    <row r="2" spans="1:16" x14ac:dyDescent="0.3">
      <c r="A2">
        <v>60</v>
      </c>
      <c r="B2" t="s">
        <v>105</v>
      </c>
      <c r="C2" t="s">
        <v>418</v>
      </c>
      <c r="D2" s="6">
        <v>39556</v>
      </c>
      <c r="E2" t="s">
        <v>201</v>
      </c>
      <c r="F2" t="s">
        <v>60</v>
      </c>
      <c r="G2" t="s">
        <v>27</v>
      </c>
      <c r="H2" t="s">
        <v>50</v>
      </c>
      <c r="I2" t="s">
        <v>50</v>
      </c>
      <c r="J2" t="s">
        <v>20</v>
      </c>
      <c r="K2" t="s">
        <v>21</v>
      </c>
      <c r="L2" t="s">
        <v>27</v>
      </c>
      <c r="M2">
        <v>140</v>
      </c>
      <c r="N2">
        <v>0</v>
      </c>
      <c r="O2" t="s">
        <v>236</v>
      </c>
      <c r="P2" t="s">
        <v>281</v>
      </c>
    </row>
    <row r="3" spans="1:16" x14ac:dyDescent="0.3">
      <c r="A3">
        <v>61</v>
      </c>
      <c r="B3" t="s">
        <v>123</v>
      </c>
      <c r="C3" t="s">
        <v>418</v>
      </c>
      <c r="D3" s="6">
        <v>39557</v>
      </c>
      <c r="E3" t="s">
        <v>215</v>
      </c>
      <c r="F3" t="s">
        <v>188</v>
      </c>
      <c r="G3" t="s">
        <v>19</v>
      </c>
      <c r="H3" t="s">
        <v>45</v>
      </c>
      <c r="I3" t="s">
        <v>19</v>
      </c>
      <c r="J3" t="s">
        <v>40</v>
      </c>
      <c r="K3" t="s">
        <v>21</v>
      </c>
      <c r="L3" t="s">
        <v>19</v>
      </c>
      <c r="M3">
        <v>33</v>
      </c>
      <c r="N3">
        <v>0</v>
      </c>
      <c r="O3" t="s">
        <v>352</v>
      </c>
      <c r="P3" t="s">
        <v>287</v>
      </c>
    </row>
    <row r="4" spans="1:16" x14ac:dyDescent="0.3">
      <c r="A4">
        <v>62</v>
      </c>
      <c r="B4" t="s">
        <v>35</v>
      </c>
      <c r="C4" t="s">
        <v>418</v>
      </c>
      <c r="D4" s="6">
        <v>39557</v>
      </c>
      <c r="E4" t="s">
        <v>383</v>
      </c>
      <c r="F4" t="s">
        <v>37</v>
      </c>
      <c r="G4" t="s">
        <v>31</v>
      </c>
      <c r="H4" t="s">
        <v>38</v>
      </c>
      <c r="I4" t="s">
        <v>31</v>
      </c>
      <c r="J4" t="s">
        <v>40</v>
      </c>
      <c r="K4" t="s">
        <v>21</v>
      </c>
      <c r="L4" t="s">
        <v>38</v>
      </c>
      <c r="M4">
        <v>0</v>
      </c>
      <c r="N4">
        <v>9</v>
      </c>
      <c r="O4" t="s">
        <v>224</v>
      </c>
      <c r="P4" t="s">
        <v>373</v>
      </c>
    </row>
    <row r="5" spans="1:16" x14ac:dyDescent="0.3">
      <c r="A5">
        <v>63</v>
      </c>
      <c r="B5" t="s">
        <v>15</v>
      </c>
      <c r="C5" t="s">
        <v>418</v>
      </c>
      <c r="D5" s="6">
        <v>39558</v>
      </c>
      <c r="E5" t="s">
        <v>356</v>
      </c>
      <c r="F5" t="s">
        <v>17</v>
      </c>
      <c r="G5" t="s">
        <v>39</v>
      </c>
      <c r="H5" t="s">
        <v>50</v>
      </c>
      <c r="I5" t="s">
        <v>39</v>
      </c>
      <c r="J5" t="s">
        <v>40</v>
      </c>
      <c r="K5" t="s">
        <v>21</v>
      </c>
      <c r="L5" t="s">
        <v>50</v>
      </c>
      <c r="M5">
        <v>0</v>
      </c>
      <c r="N5">
        <v>5</v>
      </c>
      <c r="O5" t="s">
        <v>369</v>
      </c>
      <c r="P5" t="s">
        <v>315</v>
      </c>
    </row>
    <row r="6" spans="1:16" x14ac:dyDescent="0.3">
      <c r="A6">
        <v>64</v>
      </c>
      <c r="B6" t="s">
        <v>24</v>
      </c>
      <c r="C6" t="s">
        <v>418</v>
      </c>
      <c r="D6" s="6">
        <v>39558</v>
      </c>
      <c r="E6" t="s">
        <v>264</v>
      </c>
      <c r="F6" t="s">
        <v>26</v>
      </c>
      <c r="G6" t="s">
        <v>260</v>
      </c>
      <c r="H6" t="s">
        <v>27</v>
      </c>
      <c r="I6" t="s">
        <v>260</v>
      </c>
      <c r="J6" t="s">
        <v>40</v>
      </c>
      <c r="K6" t="s">
        <v>21</v>
      </c>
      <c r="L6" t="s">
        <v>27</v>
      </c>
      <c r="M6">
        <v>0</v>
      </c>
      <c r="N6">
        <v>5</v>
      </c>
      <c r="O6" t="s">
        <v>225</v>
      </c>
      <c r="P6" t="s">
        <v>280</v>
      </c>
    </row>
    <row r="7" spans="1:16" x14ac:dyDescent="0.3">
      <c r="A7">
        <v>65</v>
      </c>
      <c r="B7" t="s">
        <v>47</v>
      </c>
      <c r="C7" t="s">
        <v>418</v>
      </c>
      <c r="D7" s="6">
        <v>39559</v>
      </c>
      <c r="E7" t="s">
        <v>16</v>
      </c>
      <c r="F7" t="s">
        <v>49</v>
      </c>
      <c r="G7" t="s">
        <v>45</v>
      </c>
      <c r="H7" t="s">
        <v>31</v>
      </c>
      <c r="I7" t="s">
        <v>45</v>
      </c>
      <c r="J7" t="s">
        <v>40</v>
      </c>
      <c r="K7" t="s">
        <v>21</v>
      </c>
      <c r="L7" t="s">
        <v>31</v>
      </c>
      <c r="M7">
        <v>0</v>
      </c>
      <c r="N7">
        <v>6</v>
      </c>
      <c r="O7" t="s">
        <v>224</v>
      </c>
      <c r="P7" t="s">
        <v>288</v>
      </c>
    </row>
    <row r="8" spans="1:16" x14ac:dyDescent="0.3">
      <c r="A8">
        <v>66</v>
      </c>
      <c r="B8" t="s">
        <v>53</v>
      </c>
      <c r="C8" t="s">
        <v>418</v>
      </c>
      <c r="D8" s="6">
        <v>39560</v>
      </c>
      <c r="E8" t="s">
        <v>214</v>
      </c>
      <c r="F8" t="s">
        <v>55</v>
      </c>
      <c r="G8" t="s">
        <v>260</v>
      </c>
      <c r="H8" t="s">
        <v>38</v>
      </c>
      <c r="I8" t="s">
        <v>260</v>
      </c>
      <c r="J8" t="s">
        <v>40</v>
      </c>
      <c r="K8" t="s">
        <v>21</v>
      </c>
      <c r="L8" t="s">
        <v>38</v>
      </c>
      <c r="M8">
        <v>0</v>
      </c>
      <c r="N8">
        <v>9</v>
      </c>
      <c r="O8" t="s">
        <v>334</v>
      </c>
      <c r="P8" t="s">
        <v>283</v>
      </c>
    </row>
    <row r="9" spans="1:16" x14ac:dyDescent="0.3">
      <c r="A9">
        <v>67</v>
      </c>
      <c r="B9" t="s">
        <v>98</v>
      </c>
      <c r="C9" t="s">
        <v>418</v>
      </c>
      <c r="D9" s="6">
        <v>39561</v>
      </c>
      <c r="E9" t="s">
        <v>327</v>
      </c>
      <c r="F9" t="s">
        <v>100</v>
      </c>
      <c r="G9" t="s">
        <v>19</v>
      </c>
      <c r="H9" t="s">
        <v>39</v>
      </c>
      <c r="I9" t="s">
        <v>39</v>
      </c>
      <c r="J9" t="s">
        <v>20</v>
      </c>
      <c r="K9" t="s">
        <v>21</v>
      </c>
      <c r="L9" t="s">
        <v>19</v>
      </c>
      <c r="M9">
        <v>6</v>
      </c>
      <c r="N9">
        <v>0</v>
      </c>
      <c r="O9" t="s">
        <v>315</v>
      </c>
      <c r="P9" t="s">
        <v>373</v>
      </c>
    </row>
    <row r="10" spans="1:16" x14ac:dyDescent="0.3">
      <c r="A10">
        <v>68</v>
      </c>
      <c r="B10" t="s">
        <v>53</v>
      </c>
      <c r="C10" t="s">
        <v>418</v>
      </c>
      <c r="D10" s="6">
        <v>39562</v>
      </c>
      <c r="E10" t="s">
        <v>157</v>
      </c>
      <c r="F10" t="s">
        <v>55</v>
      </c>
      <c r="G10" t="s">
        <v>260</v>
      </c>
      <c r="H10" t="s">
        <v>31</v>
      </c>
      <c r="I10" t="s">
        <v>31</v>
      </c>
      <c r="J10" t="s">
        <v>20</v>
      </c>
      <c r="K10" t="s">
        <v>21</v>
      </c>
      <c r="L10" t="s">
        <v>31</v>
      </c>
      <c r="M10">
        <v>0</v>
      </c>
      <c r="N10">
        <v>3</v>
      </c>
      <c r="O10" t="s">
        <v>236</v>
      </c>
      <c r="P10" t="s">
        <v>352</v>
      </c>
    </row>
    <row r="11" spans="1:16" x14ac:dyDescent="0.3">
      <c r="A11">
        <v>69</v>
      </c>
      <c r="B11" t="s">
        <v>123</v>
      </c>
      <c r="C11" t="s">
        <v>418</v>
      </c>
      <c r="D11" s="6">
        <v>39563</v>
      </c>
      <c r="E11" t="s">
        <v>266</v>
      </c>
      <c r="F11" t="s">
        <v>188</v>
      </c>
      <c r="G11" t="s">
        <v>45</v>
      </c>
      <c r="H11" t="s">
        <v>39</v>
      </c>
      <c r="I11" t="s">
        <v>39</v>
      </c>
      <c r="J11" t="s">
        <v>20</v>
      </c>
      <c r="K11" t="s">
        <v>21</v>
      </c>
      <c r="L11" t="s">
        <v>45</v>
      </c>
      <c r="M11">
        <v>66</v>
      </c>
      <c r="N11">
        <v>0</v>
      </c>
      <c r="O11" t="s">
        <v>224</v>
      </c>
      <c r="P11" t="s">
        <v>283</v>
      </c>
    </row>
    <row r="12" spans="1:16" x14ac:dyDescent="0.3">
      <c r="A12">
        <v>70</v>
      </c>
      <c r="B12" t="s">
        <v>105</v>
      </c>
      <c r="C12" t="s">
        <v>418</v>
      </c>
      <c r="D12" s="6">
        <v>39564</v>
      </c>
      <c r="E12" t="s">
        <v>16</v>
      </c>
      <c r="F12" t="s">
        <v>60</v>
      </c>
      <c r="G12" t="s">
        <v>50</v>
      </c>
      <c r="H12" t="s">
        <v>31</v>
      </c>
      <c r="I12" t="s">
        <v>31</v>
      </c>
      <c r="J12" t="s">
        <v>20</v>
      </c>
      <c r="K12" t="s">
        <v>21</v>
      </c>
      <c r="L12" t="s">
        <v>31</v>
      </c>
      <c r="M12">
        <v>0</v>
      </c>
      <c r="N12">
        <v>7</v>
      </c>
      <c r="O12" t="s">
        <v>352</v>
      </c>
      <c r="P12" t="s">
        <v>334</v>
      </c>
    </row>
    <row r="13" spans="1:16" x14ac:dyDescent="0.3">
      <c r="A13">
        <v>71</v>
      </c>
      <c r="B13" t="s">
        <v>98</v>
      </c>
      <c r="C13" t="s">
        <v>418</v>
      </c>
      <c r="D13" s="6">
        <v>39564</v>
      </c>
      <c r="E13" t="s">
        <v>382</v>
      </c>
      <c r="F13" t="s">
        <v>100</v>
      </c>
      <c r="G13" t="s">
        <v>27</v>
      </c>
      <c r="H13" t="s">
        <v>19</v>
      </c>
      <c r="I13" t="s">
        <v>27</v>
      </c>
      <c r="J13" t="s">
        <v>40</v>
      </c>
      <c r="K13" t="s">
        <v>21</v>
      </c>
      <c r="L13" t="s">
        <v>19</v>
      </c>
      <c r="M13">
        <v>0</v>
      </c>
      <c r="N13">
        <v>9</v>
      </c>
      <c r="O13" t="s">
        <v>225</v>
      </c>
      <c r="P13" t="s">
        <v>368</v>
      </c>
    </row>
    <row r="14" spans="1:16" x14ac:dyDescent="0.3">
      <c r="A14">
        <v>72</v>
      </c>
      <c r="B14" t="s">
        <v>15</v>
      </c>
      <c r="C14" t="s">
        <v>418</v>
      </c>
      <c r="D14" s="6">
        <v>39565</v>
      </c>
      <c r="E14" t="s">
        <v>243</v>
      </c>
      <c r="F14" t="s">
        <v>285</v>
      </c>
      <c r="G14" t="s">
        <v>39</v>
      </c>
      <c r="H14" t="s">
        <v>260</v>
      </c>
      <c r="I14" t="s">
        <v>260</v>
      </c>
      <c r="J14" t="s">
        <v>20</v>
      </c>
      <c r="K14" t="s">
        <v>21</v>
      </c>
      <c r="L14" t="s">
        <v>260</v>
      </c>
      <c r="M14">
        <v>0</v>
      </c>
      <c r="N14">
        <v>10</v>
      </c>
      <c r="O14" t="s">
        <v>236</v>
      </c>
      <c r="P14" t="s">
        <v>287</v>
      </c>
    </row>
    <row r="15" spans="1:16" x14ac:dyDescent="0.3">
      <c r="A15">
        <v>73</v>
      </c>
      <c r="B15" t="s">
        <v>123</v>
      </c>
      <c r="C15" t="s">
        <v>418</v>
      </c>
      <c r="D15" s="6">
        <v>39565</v>
      </c>
      <c r="E15" t="s">
        <v>381</v>
      </c>
      <c r="F15" t="s">
        <v>188</v>
      </c>
      <c r="G15" t="s">
        <v>38</v>
      </c>
      <c r="H15" t="s">
        <v>45</v>
      </c>
      <c r="I15" t="s">
        <v>38</v>
      </c>
      <c r="J15" t="s">
        <v>40</v>
      </c>
      <c r="K15" t="s">
        <v>21</v>
      </c>
      <c r="L15" t="s">
        <v>45</v>
      </c>
      <c r="M15">
        <v>0</v>
      </c>
      <c r="N15">
        <v>4</v>
      </c>
      <c r="O15" t="s">
        <v>281</v>
      </c>
      <c r="P15" t="s">
        <v>372</v>
      </c>
    </row>
    <row r="16" spans="1:16" x14ac:dyDescent="0.3">
      <c r="A16">
        <v>74</v>
      </c>
      <c r="B16" t="s">
        <v>105</v>
      </c>
      <c r="C16" t="s">
        <v>418</v>
      </c>
      <c r="D16" s="6">
        <v>39566</v>
      </c>
      <c r="E16" t="s">
        <v>87</v>
      </c>
      <c r="F16" t="s">
        <v>60</v>
      </c>
      <c r="G16" t="s">
        <v>19</v>
      </c>
      <c r="H16" t="s">
        <v>50</v>
      </c>
      <c r="I16" t="s">
        <v>19</v>
      </c>
      <c r="J16" t="s">
        <v>40</v>
      </c>
      <c r="K16" t="s">
        <v>21</v>
      </c>
      <c r="L16" t="s">
        <v>19</v>
      </c>
      <c r="M16">
        <v>13</v>
      </c>
      <c r="N16">
        <v>0</v>
      </c>
      <c r="O16" t="s">
        <v>259</v>
      </c>
      <c r="P16" t="s">
        <v>288</v>
      </c>
    </row>
    <row r="17" spans="1:16" x14ac:dyDescent="0.3">
      <c r="A17">
        <v>75</v>
      </c>
      <c r="B17" t="s">
        <v>24</v>
      </c>
      <c r="C17" t="s">
        <v>418</v>
      </c>
      <c r="D17" s="6">
        <v>39567</v>
      </c>
      <c r="E17" t="s">
        <v>376</v>
      </c>
      <c r="F17" t="s">
        <v>26</v>
      </c>
      <c r="G17" t="s">
        <v>27</v>
      </c>
      <c r="H17" t="s">
        <v>39</v>
      </c>
      <c r="I17" t="s">
        <v>27</v>
      </c>
      <c r="J17" t="s">
        <v>40</v>
      </c>
      <c r="K17" t="s">
        <v>21</v>
      </c>
      <c r="L17" t="s">
        <v>39</v>
      </c>
      <c r="M17">
        <v>0</v>
      </c>
      <c r="N17">
        <v>7</v>
      </c>
      <c r="O17" t="s">
        <v>225</v>
      </c>
      <c r="P17" t="s">
        <v>368</v>
      </c>
    </row>
    <row r="18" spans="1:16" x14ac:dyDescent="0.3">
      <c r="A18">
        <v>76</v>
      </c>
      <c r="B18" t="s">
        <v>35</v>
      </c>
      <c r="C18" t="s">
        <v>418</v>
      </c>
      <c r="D18" s="6">
        <v>39568</v>
      </c>
      <c r="E18" t="s">
        <v>380</v>
      </c>
      <c r="F18" t="s">
        <v>37</v>
      </c>
      <c r="G18" t="s">
        <v>38</v>
      </c>
      <c r="H18" t="s">
        <v>50</v>
      </c>
      <c r="I18" t="s">
        <v>50</v>
      </c>
      <c r="J18" t="s">
        <v>20</v>
      </c>
      <c r="K18" t="s">
        <v>21</v>
      </c>
      <c r="L18" t="s">
        <v>38</v>
      </c>
      <c r="M18">
        <v>10</v>
      </c>
      <c r="N18">
        <v>0</v>
      </c>
      <c r="O18" t="s">
        <v>224</v>
      </c>
      <c r="P18" t="s">
        <v>372</v>
      </c>
    </row>
    <row r="19" spans="1:16" x14ac:dyDescent="0.3">
      <c r="A19">
        <v>77</v>
      </c>
      <c r="B19" t="s">
        <v>53</v>
      </c>
      <c r="C19" t="s">
        <v>418</v>
      </c>
      <c r="D19" s="6">
        <v>39569</v>
      </c>
      <c r="E19" t="s">
        <v>206</v>
      </c>
      <c r="F19" t="s">
        <v>55</v>
      </c>
      <c r="G19" t="s">
        <v>260</v>
      </c>
      <c r="H19" t="s">
        <v>45</v>
      </c>
      <c r="I19" t="s">
        <v>45</v>
      </c>
      <c r="J19" t="s">
        <v>20</v>
      </c>
      <c r="K19" t="s">
        <v>21</v>
      </c>
      <c r="L19" t="s">
        <v>45</v>
      </c>
      <c r="M19">
        <v>0</v>
      </c>
      <c r="N19">
        <v>7</v>
      </c>
      <c r="O19" t="s">
        <v>259</v>
      </c>
      <c r="P19" t="s">
        <v>288</v>
      </c>
    </row>
    <row r="20" spans="1:16" x14ac:dyDescent="0.3">
      <c r="A20">
        <v>78</v>
      </c>
      <c r="B20" t="s">
        <v>47</v>
      </c>
      <c r="C20" t="s">
        <v>418</v>
      </c>
      <c r="D20" s="6">
        <v>39569</v>
      </c>
      <c r="E20" t="s">
        <v>379</v>
      </c>
      <c r="F20" t="s">
        <v>49</v>
      </c>
      <c r="G20" t="s">
        <v>31</v>
      </c>
      <c r="H20" t="s">
        <v>27</v>
      </c>
      <c r="I20" t="s">
        <v>31</v>
      </c>
      <c r="J20" t="s">
        <v>40</v>
      </c>
      <c r="K20" t="s">
        <v>21</v>
      </c>
      <c r="L20" t="s">
        <v>31</v>
      </c>
      <c r="M20">
        <v>45</v>
      </c>
      <c r="N20">
        <v>0</v>
      </c>
      <c r="O20" t="s">
        <v>281</v>
      </c>
      <c r="P20" t="s">
        <v>373</v>
      </c>
    </row>
    <row r="21" spans="1:16" x14ac:dyDescent="0.3">
      <c r="A21">
        <v>79</v>
      </c>
      <c r="B21" t="s">
        <v>98</v>
      </c>
      <c r="C21" t="s">
        <v>418</v>
      </c>
      <c r="D21" s="6">
        <v>39570</v>
      </c>
      <c r="E21" t="s">
        <v>214</v>
      </c>
      <c r="F21" t="s">
        <v>100</v>
      </c>
      <c r="G21" t="s">
        <v>19</v>
      </c>
      <c r="H21" t="s">
        <v>38</v>
      </c>
      <c r="I21" t="s">
        <v>19</v>
      </c>
      <c r="J21" t="s">
        <v>40</v>
      </c>
      <c r="K21" t="s">
        <v>21</v>
      </c>
      <c r="L21" t="s">
        <v>38</v>
      </c>
      <c r="M21">
        <v>0</v>
      </c>
      <c r="N21">
        <v>8</v>
      </c>
      <c r="O21" t="s">
        <v>225</v>
      </c>
      <c r="P21" t="s">
        <v>280</v>
      </c>
    </row>
    <row r="22" spans="1:16" x14ac:dyDescent="0.3">
      <c r="A22">
        <v>80</v>
      </c>
      <c r="B22" t="s">
        <v>53</v>
      </c>
      <c r="C22" t="s">
        <v>418</v>
      </c>
      <c r="D22" s="6">
        <v>39593</v>
      </c>
      <c r="E22" t="s">
        <v>251</v>
      </c>
      <c r="F22" t="s">
        <v>55</v>
      </c>
      <c r="G22" t="s">
        <v>260</v>
      </c>
      <c r="H22" t="s">
        <v>50</v>
      </c>
      <c r="I22" t="s">
        <v>260</v>
      </c>
      <c r="J22" t="s">
        <v>40</v>
      </c>
      <c r="K22" t="s">
        <v>21</v>
      </c>
      <c r="L22" t="s">
        <v>50</v>
      </c>
      <c r="M22">
        <v>0</v>
      </c>
      <c r="N22">
        <v>5</v>
      </c>
      <c r="O22" t="s">
        <v>236</v>
      </c>
      <c r="P22" t="s">
        <v>281</v>
      </c>
    </row>
    <row r="23" spans="1:16" x14ac:dyDescent="0.3">
      <c r="A23">
        <v>81</v>
      </c>
      <c r="B23" t="s">
        <v>123</v>
      </c>
      <c r="C23" t="s">
        <v>418</v>
      </c>
      <c r="D23" s="6">
        <v>39571</v>
      </c>
      <c r="E23" t="s">
        <v>277</v>
      </c>
      <c r="F23" t="s">
        <v>188</v>
      </c>
      <c r="G23" t="s">
        <v>45</v>
      </c>
      <c r="H23" t="s">
        <v>27</v>
      </c>
      <c r="I23" t="s">
        <v>45</v>
      </c>
      <c r="J23" t="s">
        <v>40</v>
      </c>
      <c r="K23" t="s">
        <v>21</v>
      </c>
      <c r="L23" t="s">
        <v>45</v>
      </c>
      <c r="M23">
        <v>9</v>
      </c>
      <c r="N23">
        <v>0</v>
      </c>
      <c r="O23" t="s">
        <v>315</v>
      </c>
      <c r="P23" t="s">
        <v>372</v>
      </c>
    </row>
    <row r="24" spans="1:16" x14ac:dyDescent="0.3">
      <c r="A24">
        <v>82</v>
      </c>
      <c r="B24" t="s">
        <v>15</v>
      </c>
      <c r="C24" t="s">
        <v>418</v>
      </c>
      <c r="D24" s="6">
        <v>39572</v>
      </c>
      <c r="E24" t="s">
        <v>375</v>
      </c>
      <c r="F24" t="s">
        <v>285</v>
      </c>
      <c r="G24" t="s">
        <v>39</v>
      </c>
      <c r="H24" t="s">
        <v>38</v>
      </c>
      <c r="I24" t="s">
        <v>38</v>
      </c>
      <c r="J24" t="s">
        <v>20</v>
      </c>
      <c r="K24" t="s">
        <v>21</v>
      </c>
      <c r="L24" t="s">
        <v>39</v>
      </c>
      <c r="M24">
        <v>29</v>
      </c>
      <c r="N24">
        <v>0</v>
      </c>
      <c r="O24" t="s">
        <v>334</v>
      </c>
      <c r="P24" t="s">
        <v>281</v>
      </c>
    </row>
    <row r="25" spans="1:16" x14ac:dyDescent="0.3">
      <c r="A25">
        <v>83</v>
      </c>
      <c r="B25" t="s">
        <v>47</v>
      </c>
      <c r="C25" t="s">
        <v>418</v>
      </c>
      <c r="D25" s="6">
        <v>39572</v>
      </c>
      <c r="E25" t="s">
        <v>370</v>
      </c>
      <c r="F25" t="s">
        <v>49</v>
      </c>
      <c r="G25" t="s">
        <v>19</v>
      </c>
      <c r="H25" t="s">
        <v>31</v>
      </c>
      <c r="I25" t="s">
        <v>19</v>
      </c>
      <c r="J25" t="s">
        <v>40</v>
      </c>
      <c r="K25" t="s">
        <v>21</v>
      </c>
      <c r="L25" t="s">
        <v>31</v>
      </c>
      <c r="M25">
        <v>0</v>
      </c>
      <c r="N25">
        <v>8</v>
      </c>
      <c r="O25" t="s">
        <v>236</v>
      </c>
      <c r="P25" t="s">
        <v>368</v>
      </c>
    </row>
    <row r="26" spans="1:16" x14ac:dyDescent="0.3">
      <c r="A26">
        <v>84</v>
      </c>
      <c r="B26" t="s">
        <v>105</v>
      </c>
      <c r="C26" t="s">
        <v>418</v>
      </c>
      <c r="D26" s="6">
        <v>39573</v>
      </c>
      <c r="E26" t="s">
        <v>378</v>
      </c>
      <c r="F26" t="s">
        <v>60</v>
      </c>
      <c r="G26" t="s">
        <v>50</v>
      </c>
      <c r="H26" t="s">
        <v>45</v>
      </c>
      <c r="I26" t="s">
        <v>45</v>
      </c>
      <c r="J26" t="s">
        <v>20</v>
      </c>
      <c r="K26" t="s">
        <v>21</v>
      </c>
      <c r="L26" t="s">
        <v>45</v>
      </c>
      <c r="M26">
        <v>0</v>
      </c>
      <c r="N26">
        <v>6</v>
      </c>
      <c r="O26" t="s">
        <v>369</v>
      </c>
      <c r="P26" t="s">
        <v>259</v>
      </c>
    </row>
    <row r="27" spans="1:16" x14ac:dyDescent="0.3">
      <c r="A27">
        <v>85</v>
      </c>
      <c r="B27" t="s">
        <v>98</v>
      </c>
      <c r="C27" t="s">
        <v>418</v>
      </c>
      <c r="D27" s="6">
        <v>39574</v>
      </c>
      <c r="E27" t="s">
        <v>243</v>
      </c>
      <c r="F27" t="s">
        <v>100</v>
      </c>
      <c r="G27" t="s">
        <v>19</v>
      </c>
      <c r="H27" t="s">
        <v>260</v>
      </c>
      <c r="I27" t="s">
        <v>260</v>
      </c>
      <c r="J27" t="s">
        <v>20</v>
      </c>
      <c r="K27" t="s">
        <v>21</v>
      </c>
      <c r="L27" t="s">
        <v>260</v>
      </c>
      <c r="M27">
        <v>0</v>
      </c>
      <c r="N27">
        <v>7</v>
      </c>
      <c r="O27" t="s">
        <v>352</v>
      </c>
      <c r="P27" t="s">
        <v>288</v>
      </c>
    </row>
    <row r="28" spans="1:16" x14ac:dyDescent="0.3">
      <c r="A28">
        <v>86</v>
      </c>
      <c r="B28" t="s">
        <v>15</v>
      </c>
      <c r="C28" t="s">
        <v>418</v>
      </c>
      <c r="D28" s="6">
        <v>39575</v>
      </c>
      <c r="E28" t="s">
        <v>168</v>
      </c>
      <c r="F28" t="s">
        <v>285</v>
      </c>
      <c r="G28" t="s">
        <v>31</v>
      </c>
      <c r="H28" t="s">
        <v>39</v>
      </c>
      <c r="I28" t="s">
        <v>39</v>
      </c>
      <c r="J28" t="s">
        <v>20</v>
      </c>
      <c r="K28" t="s">
        <v>21</v>
      </c>
      <c r="L28" t="s">
        <v>39</v>
      </c>
      <c r="M28">
        <v>0</v>
      </c>
      <c r="N28">
        <v>7</v>
      </c>
      <c r="O28" t="s">
        <v>315</v>
      </c>
      <c r="P28" t="s">
        <v>281</v>
      </c>
    </row>
    <row r="29" spans="1:16" x14ac:dyDescent="0.3">
      <c r="A29">
        <v>87</v>
      </c>
      <c r="B29" t="s">
        <v>35</v>
      </c>
      <c r="C29" t="s">
        <v>418</v>
      </c>
      <c r="D29" s="6">
        <v>39576</v>
      </c>
      <c r="E29" t="s">
        <v>87</v>
      </c>
      <c r="F29" t="s">
        <v>37</v>
      </c>
      <c r="G29" t="s">
        <v>38</v>
      </c>
      <c r="H29" t="s">
        <v>19</v>
      </c>
      <c r="I29" t="s">
        <v>19</v>
      </c>
      <c r="J29" t="s">
        <v>20</v>
      </c>
      <c r="K29" t="s">
        <v>21</v>
      </c>
      <c r="L29" t="s">
        <v>19</v>
      </c>
      <c r="M29">
        <v>0</v>
      </c>
      <c r="N29">
        <v>4</v>
      </c>
      <c r="O29" t="s">
        <v>224</v>
      </c>
      <c r="P29" t="s">
        <v>288</v>
      </c>
    </row>
    <row r="30" spans="1:16" x14ac:dyDescent="0.3">
      <c r="A30">
        <v>88</v>
      </c>
      <c r="B30" t="s">
        <v>24</v>
      </c>
      <c r="C30" t="s">
        <v>418</v>
      </c>
      <c r="D30" s="6">
        <v>39576</v>
      </c>
      <c r="E30" t="s">
        <v>269</v>
      </c>
      <c r="F30" t="s">
        <v>26</v>
      </c>
      <c r="G30" t="s">
        <v>27</v>
      </c>
      <c r="H30" t="s">
        <v>50</v>
      </c>
      <c r="I30" t="s">
        <v>27</v>
      </c>
      <c r="J30" t="s">
        <v>40</v>
      </c>
      <c r="K30" t="s">
        <v>21</v>
      </c>
      <c r="L30" t="s">
        <v>27</v>
      </c>
      <c r="M30">
        <v>5</v>
      </c>
      <c r="N30">
        <v>0</v>
      </c>
      <c r="O30" t="s">
        <v>236</v>
      </c>
      <c r="P30" t="s">
        <v>334</v>
      </c>
    </row>
    <row r="31" spans="1:16" x14ac:dyDescent="0.3">
      <c r="A31">
        <v>89</v>
      </c>
      <c r="B31" t="s">
        <v>47</v>
      </c>
      <c r="C31" t="s">
        <v>418</v>
      </c>
      <c r="D31" s="6">
        <v>39577</v>
      </c>
      <c r="E31" t="s">
        <v>157</v>
      </c>
      <c r="F31" t="s">
        <v>49</v>
      </c>
      <c r="G31" t="s">
        <v>260</v>
      </c>
      <c r="H31" t="s">
        <v>31</v>
      </c>
      <c r="I31" t="s">
        <v>31</v>
      </c>
      <c r="J31" t="s">
        <v>20</v>
      </c>
      <c r="K31" t="s">
        <v>21</v>
      </c>
      <c r="L31" t="s">
        <v>31</v>
      </c>
      <c r="M31">
        <v>0</v>
      </c>
      <c r="N31">
        <v>8</v>
      </c>
      <c r="O31" t="s">
        <v>352</v>
      </c>
      <c r="P31" t="s">
        <v>283</v>
      </c>
    </row>
    <row r="32" spans="1:16" x14ac:dyDescent="0.3">
      <c r="A32">
        <v>90</v>
      </c>
      <c r="B32" t="s">
        <v>105</v>
      </c>
      <c r="C32" t="s">
        <v>418</v>
      </c>
      <c r="D32" s="6">
        <v>39596</v>
      </c>
      <c r="E32" t="s">
        <v>367</v>
      </c>
      <c r="F32" t="s">
        <v>60</v>
      </c>
      <c r="G32" t="s">
        <v>50</v>
      </c>
      <c r="H32" t="s">
        <v>39</v>
      </c>
      <c r="I32" t="s">
        <v>39</v>
      </c>
      <c r="J32" t="s">
        <v>20</v>
      </c>
      <c r="K32" t="s">
        <v>21</v>
      </c>
      <c r="L32" t="s">
        <v>39</v>
      </c>
      <c r="M32">
        <v>0</v>
      </c>
      <c r="N32">
        <v>9</v>
      </c>
      <c r="O32" t="s">
        <v>225</v>
      </c>
      <c r="P32" t="s">
        <v>368</v>
      </c>
    </row>
    <row r="33" spans="1:16" x14ac:dyDescent="0.3">
      <c r="A33">
        <v>91</v>
      </c>
      <c r="B33" t="s">
        <v>98</v>
      </c>
      <c r="C33" t="s">
        <v>418</v>
      </c>
      <c r="D33" s="6">
        <v>39578</v>
      </c>
      <c r="E33" t="s">
        <v>275</v>
      </c>
      <c r="F33" t="s">
        <v>100</v>
      </c>
      <c r="G33" t="s">
        <v>19</v>
      </c>
      <c r="H33" t="s">
        <v>45</v>
      </c>
      <c r="I33" t="s">
        <v>45</v>
      </c>
      <c r="J33" t="s">
        <v>20</v>
      </c>
      <c r="K33" t="s">
        <v>21</v>
      </c>
      <c r="L33" t="s">
        <v>19</v>
      </c>
      <c r="M33">
        <v>18</v>
      </c>
      <c r="N33">
        <v>0</v>
      </c>
      <c r="O33" t="s">
        <v>368</v>
      </c>
      <c r="P33" t="s">
        <v>312</v>
      </c>
    </row>
    <row r="34" spans="1:16" x14ac:dyDescent="0.3">
      <c r="A34">
        <v>92</v>
      </c>
      <c r="B34" t="s">
        <v>53</v>
      </c>
      <c r="C34" t="s">
        <v>418</v>
      </c>
      <c r="D34" s="6">
        <v>39579</v>
      </c>
      <c r="E34" t="s">
        <v>269</v>
      </c>
      <c r="F34" t="s">
        <v>55</v>
      </c>
      <c r="G34" t="s">
        <v>27</v>
      </c>
      <c r="H34" t="s">
        <v>260</v>
      </c>
      <c r="I34" t="s">
        <v>27</v>
      </c>
      <c r="J34" t="s">
        <v>40</v>
      </c>
      <c r="K34" t="s">
        <v>21</v>
      </c>
      <c r="L34" t="s">
        <v>27</v>
      </c>
      <c r="M34">
        <v>23</v>
      </c>
      <c r="N34">
        <v>0</v>
      </c>
      <c r="O34" t="s">
        <v>334</v>
      </c>
      <c r="P34" t="s">
        <v>283</v>
      </c>
    </row>
    <row r="35" spans="1:16" x14ac:dyDescent="0.3">
      <c r="A35">
        <v>93</v>
      </c>
      <c r="B35" t="s">
        <v>47</v>
      </c>
      <c r="C35" t="s">
        <v>418</v>
      </c>
      <c r="D35" s="6">
        <v>39579</v>
      </c>
      <c r="E35" t="s">
        <v>16</v>
      </c>
      <c r="F35" t="s">
        <v>49</v>
      </c>
      <c r="G35" t="s">
        <v>38</v>
      </c>
      <c r="H35" t="s">
        <v>31</v>
      </c>
      <c r="I35" t="s">
        <v>31</v>
      </c>
      <c r="J35" t="s">
        <v>20</v>
      </c>
      <c r="K35" t="s">
        <v>21</v>
      </c>
      <c r="L35" t="s">
        <v>31</v>
      </c>
      <c r="M35">
        <v>0</v>
      </c>
      <c r="N35">
        <v>3</v>
      </c>
      <c r="O35" t="s">
        <v>369</v>
      </c>
      <c r="P35" t="s">
        <v>281</v>
      </c>
    </row>
    <row r="36" spans="1:16" x14ac:dyDescent="0.3">
      <c r="A36">
        <v>94</v>
      </c>
      <c r="B36" t="s">
        <v>123</v>
      </c>
      <c r="C36" t="s">
        <v>418</v>
      </c>
      <c r="D36" s="6">
        <v>39580</v>
      </c>
      <c r="E36" t="s">
        <v>206</v>
      </c>
      <c r="F36" t="s">
        <v>188</v>
      </c>
      <c r="G36" t="s">
        <v>50</v>
      </c>
      <c r="H36" t="s">
        <v>45</v>
      </c>
      <c r="I36" t="s">
        <v>50</v>
      </c>
      <c r="J36" t="s">
        <v>40</v>
      </c>
      <c r="K36" t="s">
        <v>21</v>
      </c>
      <c r="L36" t="s">
        <v>45</v>
      </c>
      <c r="M36">
        <v>0</v>
      </c>
      <c r="N36">
        <v>9</v>
      </c>
      <c r="O36" t="s">
        <v>259</v>
      </c>
      <c r="P36" t="s">
        <v>372</v>
      </c>
    </row>
    <row r="37" spans="1:16" x14ac:dyDescent="0.3">
      <c r="A37">
        <v>95</v>
      </c>
      <c r="B37" t="s">
        <v>24</v>
      </c>
      <c r="C37" t="s">
        <v>418</v>
      </c>
      <c r="D37" s="6">
        <v>39581</v>
      </c>
      <c r="E37" t="s">
        <v>377</v>
      </c>
      <c r="F37" t="s">
        <v>26</v>
      </c>
      <c r="G37" t="s">
        <v>27</v>
      </c>
      <c r="H37" t="s">
        <v>38</v>
      </c>
      <c r="I37" t="s">
        <v>27</v>
      </c>
      <c r="J37" t="s">
        <v>40</v>
      </c>
      <c r="K37" t="s">
        <v>21</v>
      </c>
      <c r="L37" t="s">
        <v>27</v>
      </c>
      <c r="M37">
        <v>23</v>
      </c>
      <c r="N37">
        <v>0</v>
      </c>
      <c r="O37" t="s">
        <v>236</v>
      </c>
      <c r="P37" t="s">
        <v>334</v>
      </c>
    </row>
    <row r="38" spans="1:16" x14ac:dyDescent="0.3">
      <c r="A38">
        <v>96</v>
      </c>
      <c r="B38" t="s">
        <v>15</v>
      </c>
      <c r="C38" t="s">
        <v>418</v>
      </c>
      <c r="D38" s="6">
        <v>39582</v>
      </c>
      <c r="E38" t="s">
        <v>376</v>
      </c>
      <c r="F38" t="s">
        <v>17</v>
      </c>
      <c r="G38" t="s">
        <v>19</v>
      </c>
      <c r="H38" t="s">
        <v>39</v>
      </c>
      <c r="I38" t="s">
        <v>39</v>
      </c>
      <c r="J38" t="s">
        <v>20</v>
      </c>
      <c r="K38" t="s">
        <v>21</v>
      </c>
      <c r="L38" t="s">
        <v>39</v>
      </c>
      <c r="M38">
        <v>0</v>
      </c>
      <c r="N38">
        <v>9</v>
      </c>
      <c r="O38" t="s">
        <v>259</v>
      </c>
      <c r="P38" t="s">
        <v>283</v>
      </c>
    </row>
    <row r="39" spans="1:16" x14ac:dyDescent="0.3">
      <c r="A39">
        <v>97</v>
      </c>
      <c r="B39" t="s">
        <v>123</v>
      </c>
      <c r="C39" t="s">
        <v>418</v>
      </c>
      <c r="D39" s="6">
        <v>39596</v>
      </c>
      <c r="E39" t="s">
        <v>206</v>
      </c>
      <c r="F39" t="s">
        <v>188</v>
      </c>
      <c r="G39" t="s">
        <v>45</v>
      </c>
      <c r="H39" t="s">
        <v>31</v>
      </c>
      <c r="I39" t="s">
        <v>31</v>
      </c>
      <c r="J39" t="s">
        <v>20</v>
      </c>
      <c r="K39" t="s">
        <v>21</v>
      </c>
      <c r="L39" t="s">
        <v>45</v>
      </c>
      <c r="M39">
        <v>41</v>
      </c>
      <c r="N39">
        <v>0</v>
      </c>
      <c r="O39" t="s">
        <v>369</v>
      </c>
      <c r="P39" t="s">
        <v>280</v>
      </c>
    </row>
    <row r="40" spans="1:16" x14ac:dyDescent="0.3">
      <c r="A40">
        <v>98</v>
      </c>
      <c r="B40" t="s">
        <v>35</v>
      </c>
      <c r="C40" t="s">
        <v>418</v>
      </c>
      <c r="D40" s="6">
        <v>39583</v>
      </c>
      <c r="E40" t="s">
        <v>36</v>
      </c>
      <c r="F40" t="s">
        <v>37</v>
      </c>
      <c r="G40" t="s">
        <v>38</v>
      </c>
      <c r="H40" t="s">
        <v>260</v>
      </c>
      <c r="I40" t="s">
        <v>260</v>
      </c>
      <c r="J40" t="s">
        <v>20</v>
      </c>
      <c r="K40" t="s">
        <v>21</v>
      </c>
      <c r="L40" t="s">
        <v>38</v>
      </c>
      <c r="M40">
        <v>12</v>
      </c>
      <c r="N40">
        <v>0</v>
      </c>
      <c r="O40" t="s">
        <v>312</v>
      </c>
      <c r="P40" t="s">
        <v>373</v>
      </c>
    </row>
    <row r="41" spans="1:16" x14ac:dyDescent="0.3">
      <c r="A41">
        <v>99</v>
      </c>
      <c r="B41" t="s">
        <v>15</v>
      </c>
      <c r="C41" t="s">
        <v>418</v>
      </c>
      <c r="D41" s="6">
        <v>39584</v>
      </c>
      <c r="E41" t="s">
        <v>375</v>
      </c>
      <c r="F41" t="s">
        <v>17</v>
      </c>
      <c r="G41" t="s">
        <v>27</v>
      </c>
      <c r="H41" t="s">
        <v>39</v>
      </c>
      <c r="I41" t="s">
        <v>39</v>
      </c>
      <c r="J41" t="s">
        <v>20</v>
      </c>
      <c r="K41" t="s">
        <v>21</v>
      </c>
      <c r="L41" t="s">
        <v>39</v>
      </c>
      <c r="M41">
        <v>0</v>
      </c>
      <c r="N41">
        <v>8</v>
      </c>
      <c r="O41" t="s">
        <v>259</v>
      </c>
      <c r="P41" t="s">
        <v>315</v>
      </c>
    </row>
    <row r="42" spans="1:16" x14ac:dyDescent="0.3">
      <c r="A42">
        <v>100</v>
      </c>
      <c r="B42" t="s">
        <v>35</v>
      </c>
      <c r="C42" t="s">
        <v>418</v>
      </c>
      <c r="D42" s="6">
        <v>39585</v>
      </c>
      <c r="E42" t="s">
        <v>304</v>
      </c>
      <c r="F42" t="s">
        <v>37</v>
      </c>
      <c r="G42" t="s">
        <v>38</v>
      </c>
      <c r="H42" t="s">
        <v>45</v>
      </c>
      <c r="I42" t="s">
        <v>38</v>
      </c>
      <c r="J42" t="s">
        <v>40</v>
      </c>
      <c r="K42" t="s">
        <v>21</v>
      </c>
      <c r="L42" t="s">
        <v>45</v>
      </c>
      <c r="M42">
        <v>6</v>
      </c>
      <c r="N42">
        <v>0</v>
      </c>
      <c r="O42" t="s">
        <v>368</v>
      </c>
      <c r="P42" t="s">
        <v>281</v>
      </c>
    </row>
    <row r="43" spans="1:16" x14ac:dyDescent="0.3">
      <c r="A43">
        <v>101</v>
      </c>
      <c r="B43" t="s">
        <v>47</v>
      </c>
      <c r="C43" t="s">
        <v>418</v>
      </c>
      <c r="D43" s="6">
        <v>39585</v>
      </c>
      <c r="E43" t="s">
        <v>353</v>
      </c>
      <c r="F43" t="s">
        <v>49</v>
      </c>
      <c r="G43" t="s">
        <v>31</v>
      </c>
      <c r="H43" t="s">
        <v>50</v>
      </c>
      <c r="I43" t="s">
        <v>50</v>
      </c>
      <c r="J43" t="s">
        <v>20</v>
      </c>
      <c r="K43" t="s">
        <v>21</v>
      </c>
      <c r="L43" t="s">
        <v>31</v>
      </c>
      <c r="M43">
        <v>65</v>
      </c>
      <c r="N43">
        <v>0</v>
      </c>
      <c r="O43" t="s">
        <v>225</v>
      </c>
      <c r="P43" t="s">
        <v>287</v>
      </c>
    </row>
    <row r="44" spans="1:16" x14ac:dyDescent="0.3">
      <c r="A44">
        <v>102</v>
      </c>
      <c r="B44" t="s">
        <v>53</v>
      </c>
      <c r="C44" t="s">
        <v>418</v>
      </c>
      <c r="D44" s="6">
        <v>39586</v>
      </c>
      <c r="E44" t="s">
        <v>101</v>
      </c>
      <c r="F44" t="s">
        <v>55</v>
      </c>
      <c r="G44" t="s">
        <v>39</v>
      </c>
      <c r="H44" t="s">
        <v>260</v>
      </c>
      <c r="I44" t="s">
        <v>260</v>
      </c>
      <c r="J44" t="s">
        <v>20</v>
      </c>
      <c r="K44" t="s">
        <v>21</v>
      </c>
      <c r="L44" t="s">
        <v>39</v>
      </c>
      <c r="M44">
        <v>25</v>
      </c>
      <c r="N44">
        <v>0</v>
      </c>
      <c r="O44" t="s">
        <v>259</v>
      </c>
      <c r="P44" t="s">
        <v>315</v>
      </c>
    </row>
    <row r="45" spans="1:16" x14ac:dyDescent="0.3">
      <c r="A45">
        <v>103</v>
      </c>
      <c r="B45" t="s">
        <v>24</v>
      </c>
      <c r="C45" t="s">
        <v>418</v>
      </c>
      <c r="D45" s="6">
        <v>39586</v>
      </c>
      <c r="E45" t="s">
        <v>366</v>
      </c>
      <c r="F45" t="s">
        <v>26</v>
      </c>
      <c r="G45" t="s">
        <v>27</v>
      </c>
      <c r="H45" t="s">
        <v>19</v>
      </c>
      <c r="I45" t="s">
        <v>27</v>
      </c>
      <c r="J45" t="s">
        <v>40</v>
      </c>
      <c r="K45" t="s">
        <v>21</v>
      </c>
      <c r="L45" t="s">
        <v>19</v>
      </c>
      <c r="M45">
        <v>3</v>
      </c>
      <c r="N45">
        <v>0</v>
      </c>
      <c r="O45" t="s">
        <v>236</v>
      </c>
      <c r="P45" t="s">
        <v>280</v>
      </c>
    </row>
    <row r="46" spans="1:16" x14ac:dyDescent="0.3">
      <c r="A46">
        <v>104</v>
      </c>
      <c r="B46" t="s">
        <v>105</v>
      </c>
      <c r="C46" t="s">
        <v>418</v>
      </c>
      <c r="D46" s="6">
        <v>39587</v>
      </c>
      <c r="E46" t="s">
        <v>374</v>
      </c>
      <c r="F46" t="s">
        <v>60</v>
      </c>
      <c r="G46" t="s">
        <v>50</v>
      </c>
      <c r="H46" t="s">
        <v>38</v>
      </c>
      <c r="I46" t="s">
        <v>38</v>
      </c>
      <c r="J46" t="s">
        <v>20</v>
      </c>
      <c r="K46" t="s">
        <v>21</v>
      </c>
      <c r="L46" t="s">
        <v>38</v>
      </c>
      <c r="M46">
        <v>0</v>
      </c>
      <c r="N46">
        <v>5</v>
      </c>
      <c r="O46" t="s">
        <v>369</v>
      </c>
      <c r="P46" t="s">
        <v>373</v>
      </c>
    </row>
    <row r="47" spans="1:16" x14ac:dyDescent="0.3">
      <c r="A47">
        <v>105</v>
      </c>
      <c r="B47" t="s">
        <v>24</v>
      </c>
      <c r="C47" t="s">
        <v>418</v>
      </c>
      <c r="D47" s="6">
        <v>39588</v>
      </c>
      <c r="E47" t="s">
        <v>157</v>
      </c>
      <c r="F47" t="s">
        <v>26</v>
      </c>
      <c r="G47" t="s">
        <v>27</v>
      </c>
      <c r="H47" t="s">
        <v>31</v>
      </c>
      <c r="I47" t="s">
        <v>31</v>
      </c>
      <c r="J47" t="s">
        <v>20</v>
      </c>
      <c r="K47" t="s">
        <v>21</v>
      </c>
      <c r="L47" t="s">
        <v>31</v>
      </c>
      <c r="M47">
        <v>0</v>
      </c>
      <c r="N47">
        <v>6</v>
      </c>
      <c r="O47" t="s">
        <v>312</v>
      </c>
      <c r="P47" t="s">
        <v>281</v>
      </c>
    </row>
    <row r="48" spans="1:16" x14ac:dyDescent="0.3">
      <c r="A48">
        <v>106</v>
      </c>
      <c r="B48" t="s">
        <v>15</v>
      </c>
      <c r="C48" t="s">
        <v>418</v>
      </c>
      <c r="D48" s="6">
        <v>39589</v>
      </c>
      <c r="E48" t="s">
        <v>206</v>
      </c>
      <c r="F48" t="s">
        <v>17</v>
      </c>
      <c r="G48" t="s">
        <v>45</v>
      </c>
      <c r="H48" t="s">
        <v>39</v>
      </c>
      <c r="I48" t="s">
        <v>39</v>
      </c>
      <c r="J48" t="s">
        <v>20</v>
      </c>
      <c r="K48" t="s">
        <v>21</v>
      </c>
      <c r="L48" t="s">
        <v>45</v>
      </c>
      <c r="M48">
        <v>1</v>
      </c>
      <c r="N48">
        <v>0</v>
      </c>
      <c r="O48" t="s">
        <v>225</v>
      </c>
      <c r="P48" t="s">
        <v>373</v>
      </c>
    </row>
    <row r="49" spans="1:16" x14ac:dyDescent="0.3">
      <c r="A49">
        <v>107</v>
      </c>
      <c r="B49" t="s">
        <v>98</v>
      </c>
      <c r="C49" t="s">
        <v>418</v>
      </c>
      <c r="D49" s="6">
        <v>39589</v>
      </c>
      <c r="E49" t="s">
        <v>310</v>
      </c>
      <c r="F49" t="s">
        <v>100</v>
      </c>
      <c r="G49" t="s">
        <v>50</v>
      </c>
      <c r="H49" t="s">
        <v>19</v>
      </c>
      <c r="I49" t="s">
        <v>50</v>
      </c>
      <c r="J49" t="s">
        <v>40</v>
      </c>
      <c r="K49" t="s">
        <v>21</v>
      </c>
      <c r="L49" t="s">
        <v>50</v>
      </c>
      <c r="M49">
        <v>14</v>
      </c>
      <c r="N49">
        <v>0</v>
      </c>
      <c r="O49" t="s">
        <v>315</v>
      </c>
      <c r="P49" t="s">
        <v>372</v>
      </c>
    </row>
    <row r="50" spans="1:16" x14ac:dyDescent="0.3">
      <c r="A50">
        <v>108</v>
      </c>
      <c r="B50" t="s">
        <v>123</v>
      </c>
      <c r="C50" t="s">
        <v>418</v>
      </c>
      <c r="D50" s="6">
        <v>39591</v>
      </c>
      <c r="E50" t="s">
        <v>206</v>
      </c>
      <c r="F50" t="s">
        <v>188</v>
      </c>
      <c r="G50" t="s">
        <v>260</v>
      </c>
      <c r="H50" t="s">
        <v>45</v>
      </c>
      <c r="I50" t="s">
        <v>45</v>
      </c>
      <c r="J50" t="s">
        <v>20</v>
      </c>
      <c r="K50" t="s">
        <v>21</v>
      </c>
      <c r="L50" t="s">
        <v>45</v>
      </c>
      <c r="M50">
        <v>0</v>
      </c>
      <c r="N50">
        <v>6</v>
      </c>
      <c r="O50" t="s">
        <v>236</v>
      </c>
      <c r="P50" t="s">
        <v>369</v>
      </c>
    </row>
    <row r="51" spans="1:16" x14ac:dyDescent="0.3">
      <c r="A51">
        <v>109</v>
      </c>
      <c r="B51" t="s">
        <v>35</v>
      </c>
      <c r="C51" t="s">
        <v>418</v>
      </c>
      <c r="D51" s="6">
        <v>39592</v>
      </c>
      <c r="E51" t="s">
        <v>255</v>
      </c>
      <c r="F51" t="s">
        <v>37</v>
      </c>
      <c r="G51" t="s">
        <v>39</v>
      </c>
      <c r="H51" t="s">
        <v>38</v>
      </c>
      <c r="I51" t="s">
        <v>38</v>
      </c>
      <c r="J51" t="s">
        <v>20</v>
      </c>
      <c r="K51" t="s">
        <v>21</v>
      </c>
      <c r="L51" t="s">
        <v>38</v>
      </c>
      <c r="M51">
        <v>0</v>
      </c>
      <c r="N51">
        <v>5</v>
      </c>
      <c r="O51" t="s">
        <v>225</v>
      </c>
      <c r="P51" t="s">
        <v>280</v>
      </c>
    </row>
    <row r="52" spans="1:16" x14ac:dyDescent="0.3">
      <c r="A52">
        <v>110</v>
      </c>
      <c r="B52" t="s">
        <v>98</v>
      </c>
      <c r="C52" t="s">
        <v>418</v>
      </c>
      <c r="D52" s="6">
        <v>39592</v>
      </c>
      <c r="E52" t="s">
        <v>298</v>
      </c>
      <c r="F52" t="s">
        <v>100</v>
      </c>
      <c r="G52" t="s">
        <v>31</v>
      </c>
      <c r="H52" t="s">
        <v>19</v>
      </c>
      <c r="I52" t="s">
        <v>31</v>
      </c>
      <c r="J52" t="s">
        <v>40</v>
      </c>
      <c r="K52" t="s">
        <v>21</v>
      </c>
      <c r="L52" t="s">
        <v>31</v>
      </c>
      <c r="M52">
        <v>10</v>
      </c>
      <c r="N52">
        <v>0</v>
      </c>
      <c r="O52" t="s">
        <v>315</v>
      </c>
      <c r="P52" t="s">
        <v>287</v>
      </c>
    </row>
    <row r="53" spans="1:16" x14ac:dyDescent="0.3">
      <c r="A53">
        <v>111</v>
      </c>
      <c r="B53" t="s">
        <v>105</v>
      </c>
      <c r="C53" t="s">
        <v>418</v>
      </c>
      <c r="D53" s="6">
        <v>39571</v>
      </c>
      <c r="E53" t="s">
        <v>169</v>
      </c>
      <c r="F53" t="s">
        <v>60</v>
      </c>
      <c r="G53" t="s">
        <v>50</v>
      </c>
      <c r="H53" t="s">
        <v>260</v>
      </c>
      <c r="I53" t="s">
        <v>260</v>
      </c>
      <c r="J53" t="s">
        <v>20</v>
      </c>
      <c r="K53" t="s">
        <v>21</v>
      </c>
      <c r="L53" t="s">
        <v>50</v>
      </c>
      <c r="M53">
        <v>3</v>
      </c>
      <c r="N53">
        <v>0</v>
      </c>
      <c r="O53" t="s">
        <v>259</v>
      </c>
      <c r="P53" t="s">
        <v>287</v>
      </c>
    </row>
    <row r="54" spans="1:16" x14ac:dyDescent="0.3">
      <c r="A54">
        <v>112</v>
      </c>
      <c r="B54" t="s">
        <v>24</v>
      </c>
      <c r="C54" t="s">
        <v>418</v>
      </c>
      <c r="D54" s="6">
        <v>39593</v>
      </c>
      <c r="E54" t="s">
        <v>371</v>
      </c>
      <c r="F54" t="s">
        <v>26</v>
      </c>
      <c r="G54" t="s">
        <v>45</v>
      </c>
      <c r="H54" t="s">
        <v>27</v>
      </c>
      <c r="I54" t="s">
        <v>45</v>
      </c>
      <c r="J54" t="s">
        <v>40</v>
      </c>
      <c r="K54" t="s">
        <v>21</v>
      </c>
      <c r="L54" t="s">
        <v>27</v>
      </c>
      <c r="M54">
        <v>0</v>
      </c>
      <c r="N54">
        <v>3</v>
      </c>
      <c r="O54" t="s">
        <v>369</v>
      </c>
      <c r="P54" t="s">
        <v>372</v>
      </c>
    </row>
    <row r="55" spans="1:16" x14ac:dyDescent="0.3">
      <c r="A55">
        <v>113</v>
      </c>
      <c r="B55" t="s">
        <v>47</v>
      </c>
      <c r="C55" t="s">
        <v>418</v>
      </c>
      <c r="D55" s="6">
        <v>39594</v>
      </c>
      <c r="E55" t="s">
        <v>370</v>
      </c>
      <c r="F55" t="s">
        <v>49</v>
      </c>
      <c r="G55" t="s">
        <v>39</v>
      </c>
      <c r="H55" t="s">
        <v>31</v>
      </c>
      <c r="I55" t="s">
        <v>31</v>
      </c>
      <c r="J55" t="s">
        <v>20</v>
      </c>
      <c r="K55" t="s">
        <v>21</v>
      </c>
      <c r="L55" t="s">
        <v>31</v>
      </c>
      <c r="M55">
        <v>0</v>
      </c>
      <c r="N55">
        <v>5</v>
      </c>
      <c r="O55" t="s">
        <v>225</v>
      </c>
      <c r="P55" t="s">
        <v>280</v>
      </c>
    </row>
    <row r="56" spans="1:16" x14ac:dyDescent="0.3">
      <c r="A56">
        <v>114</v>
      </c>
      <c r="B56" t="s">
        <v>53</v>
      </c>
      <c r="C56" t="s">
        <v>418</v>
      </c>
      <c r="D56" s="6">
        <v>39595</v>
      </c>
      <c r="E56" t="s">
        <v>144</v>
      </c>
      <c r="F56" t="s">
        <v>55</v>
      </c>
      <c r="G56" t="s">
        <v>260</v>
      </c>
      <c r="H56" t="s">
        <v>19</v>
      </c>
      <c r="I56" t="s">
        <v>260</v>
      </c>
      <c r="J56" t="s">
        <v>40</v>
      </c>
      <c r="K56" t="s">
        <v>21</v>
      </c>
      <c r="L56" t="s">
        <v>19</v>
      </c>
      <c r="M56">
        <v>0</v>
      </c>
      <c r="N56">
        <v>7</v>
      </c>
      <c r="O56" t="s">
        <v>312</v>
      </c>
      <c r="P56" t="s">
        <v>283</v>
      </c>
    </row>
    <row r="57" spans="1:16" x14ac:dyDescent="0.3">
      <c r="A57">
        <v>115</v>
      </c>
      <c r="B57" t="s">
        <v>15</v>
      </c>
      <c r="C57" t="s">
        <v>418</v>
      </c>
      <c r="D57" s="6">
        <v>39598</v>
      </c>
      <c r="E57" t="s">
        <v>16</v>
      </c>
      <c r="F57" t="s">
        <v>17</v>
      </c>
      <c r="G57" t="s">
        <v>31</v>
      </c>
      <c r="H57" t="s">
        <v>38</v>
      </c>
      <c r="I57" t="s">
        <v>38</v>
      </c>
      <c r="J57" t="s">
        <v>20</v>
      </c>
      <c r="K57" t="s">
        <v>21</v>
      </c>
      <c r="L57" t="s">
        <v>31</v>
      </c>
      <c r="M57">
        <v>105</v>
      </c>
      <c r="N57">
        <v>0</v>
      </c>
      <c r="O57" t="s">
        <v>225</v>
      </c>
      <c r="P57" t="s">
        <v>281</v>
      </c>
    </row>
    <row r="58" spans="1:16" x14ac:dyDescent="0.3">
      <c r="A58">
        <v>116</v>
      </c>
      <c r="B58" t="s">
        <v>15</v>
      </c>
      <c r="C58" t="s">
        <v>418</v>
      </c>
      <c r="D58" s="6">
        <v>39599</v>
      </c>
      <c r="E58" t="s">
        <v>366</v>
      </c>
      <c r="F58" t="s">
        <v>17</v>
      </c>
      <c r="G58" t="s">
        <v>45</v>
      </c>
      <c r="H58" t="s">
        <v>19</v>
      </c>
      <c r="I58" t="s">
        <v>45</v>
      </c>
      <c r="J58" t="s">
        <v>40</v>
      </c>
      <c r="K58" t="s">
        <v>21</v>
      </c>
      <c r="L58" t="s">
        <v>19</v>
      </c>
      <c r="M58">
        <v>0</v>
      </c>
      <c r="N58">
        <v>9</v>
      </c>
      <c r="O58" t="s">
        <v>236</v>
      </c>
      <c r="P58" t="s">
        <v>315</v>
      </c>
    </row>
    <row r="59" spans="1:16" x14ac:dyDescent="0.3">
      <c r="A59">
        <v>117</v>
      </c>
      <c r="B59" t="s">
        <v>15</v>
      </c>
      <c r="C59" t="s">
        <v>418</v>
      </c>
      <c r="D59" s="6">
        <v>39600</v>
      </c>
      <c r="E59" t="s">
        <v>157</v>
      </c>
      <c r="F59" t="s">
        <v>285</v>
      </c>
      <c r="G59" t="s">
        <v>19</v>
      </c>
      <c r="H59" t="s">
        <v>31</v>
      </c>
      <c r="I59" t="s">
        <v>31</v>
      </c>
      <c r="J59" t="s">
        <v>20</v>
      </c>
      <c r="K59" t="s">
        <v>21</v>
      </c>
      <c r="L59" t="s">
        <v>31</v>
      </c>
      <c r="M59">
        <v>0</v>
      </c>
      <c r="N59">
        <v>3</v>
      </c>
      <c r="O59" t="s">
        <v>225</v>
      </c>
      <c r="P59" t="s">
        <v>281</v>
      </c>
    </row>
    <row r="60" spans="1:16" x14ac:dyDescent="0.3">
      <c r="A60">
        <v>118</v>
      </c>
      <c r="B60" t="s">
        <v>359</v>
      </c>
      <c r="C60" t="s">
        <v>415</v>
      </c>
      <c r="D60" s="6">
        <v>39921</v>
      </c>
      <c r="E60" t="s">
        <v>247</v>
      </c>
      <c r="F60" t="s">
        <v>360</v>
      </c>
      <c r="G60" t="s">
        <v>39</v>
      </c>
      <c r="H60" t="s">
        <v>19</v>
      </c>
      <c r="I60" t="s">
        <v>19</v>
      </c>
      <c r="J60" t="s">
        <v>20</v>
      </c>
      <c r="K60" t="s">
        <v>21</v>
      </c>
      <c r="L60" t="s">
        <v>39</v>
      </c>
      <c r="M60">
        <v>19</v>
      </c>
      <c r="N60">
        <v>0</v>
      </c>
      <c r="O60" t="s">
        <v>259</v>
      </c>
      <c r="P60" t="s">
        <v>280</v>
      </c>
    </row>
    <row r="61" spans="1:16" x14ac:dyDescent="0.3">
      <c r="A61">
        <v>119</v>
      </c>
      <c r="B61" t="s">
        <v>359</v>
      </c>
      <c r="C61" t="s">
        <v>415</v>
      </c>
      <c r="D61" s="6">
        <v>39921</v>
      </c>
      <c r="E61" t="s">
        <v>257</v>
      </c>
      <c r="F61" t="s">
        <v>360</v>
      </c>
      <c r="G61" t="s">
        <v>50</v>
      </c>
      <c r="H61" t="s">
        <v>31</v>
      </c>
      <c r="I61" t="s">
        <v>50</v>
      </c>
      <c r="J61" t="s">
        <v>40</v>
      </c>
      <c r="K61" t="s">
        <v>21</v>
      </c>
      <c r="L61" t="s">
        <v>50</v>
      </c>
      <c r="M61">
        <v>75</v>
      </c>
      <c r="N61">
        <v>0</v>
      </c>
      <c r="O61" t="s">
        <v>259</v>
      </c>
      <c r="P61" t="s">
        <v>288</v>
      </c>
    </row>
    <row r="62" spans="1:16" x14ac:dyDescent="0.3">
      <c r="A62">
        <v>120</v>
      </c>
      <c r="B62" t="s">
        <v>359</v>
      </c>
      <c r="C62" t="s">
        <v>415</v>
      </c>
      <c r="D62" s="6">
        <v>39922</v>
      </c>
      <c r="E62" t="s">
        <v>364</v>
      </c>
      <c r="F62" t="s">
        <v>360</v>
      </c>
      <c r="G62" t="s">
        <v>45</v>
      </c>
      <c r="H62" t="s">
        <v>38</v>
      </c>
      <c r="I62" t="s">
        <v>38</v>
      </c>
      <c r="J62" t="s">
        <v>20</v>
      </c>
      <c r="K62" t="s">
        <v>21</v>
      </c>
      <c r="L62" t="s">
        <v>38</v>
      </c>
      <c r="M62">
        <v>0</v>
      </c>
      <c r="N62">
        <v>10</v>
      </c>
      <c r="O62" t="s">
        <v>352</v>
      </c>
      <c r="P62" t="s">
        <v>363</v>
      </c>
    </row>
    <row r="63" spans="1:16" x14ac:dyDescent="0.3">
      <c r="A63">
        <v>121</v>
      </c>
      <c r="B63" t="s">
        <v>359</v>
      </c>
      <c r="C63" t="s">
        <v>415</v>
      </c>
      <c r="D63" s="6">
        <v>39922</v>
      </c>
      <c r="E63" t="s">
        <v>365</v>
      </c>
      <c r="F63" t="s">
        <v>360</v>
      </c>
      <c r="G63" t="s">
        <v>27</v>
      </c>
      <c r="H63" t="s">
        <v>260</v>
      </c>
      <c r="I63" t="s">
        <v>27</v>
      </c>
      <c r="J63" t="s">
        <v>40</v>
      </c>
      <c r="K63" t="s">
        <v>21</v>
      </c>
      <c r="L63" t="s">
        <v>260</v>
      </c>
      <c r="M63">
        <v>0</v>
      </c>
      <c r="N63">
        <v>8</v>
      </c>
      <c r="O63" t="s">
        <v>352</v>
      </c>
      <c r="P63" t="s">
        <v>259</v>
      </c>
    </row>
    <row r="64" spans="1:16" x14ac:dyDescent="0.3">
      <c r="A64">
        <v>122</v>
      </c>
      <c r="B64" t="s">
        <v>341</v>
      </c>
      <c r="C64" t="s">
        <v>415</v>
      </c>
      <c r="D64" s="6">
        <v>39923</v>
      </c>
      <c r="E64" t="s">
        <v>338</v>
      </c>
      <c r="F64" t="s">
        <v>342</v>
      </c>
      <c r="G64" t="s">
        <v>19</v>
      </c>
      <c r="H64" t="s">
        <v>50</v>
      </c>
      <c r="I64" t="s">
        <v>19</v>
      </c>
      <c r="J64" t="s">
        <v>40</v>
      </c>
      <c r="K64" t="s">
        <v>21</v>
      </c>
      <c r="L64" t="s">
        <v>19</v>
      </c>
      <c r="M64">
        <v>92</v>
      </c>
      <c r="N64">
        <v>0</v>
      </c>
      <c r="O64" t="s">
        <v>312</v>
      </c>
      <c r="P64" t="s">
        <v>231</v>
      </c>
    </row>
    <row r="65" spans="1:16" x14ac:dyDescent="0.3">
      <c r="A65">
        <v>123</v>
      </c>
      <c r="B65" t="s">
        <v>335</v>
      </c>
      <c r="C65" t="s">
        <v>415</v>
      </c>
      <c r="D65" s="6">
        <v>39924</v>
      </c>
      <c r="E65" t="s">
        <v>92</v>
      </c>
      <c r="F65" t="s">
        <v>337</v>
      </c>
      <c r="G65" t="s">
        <v>45</v>
      </c>
      <c r="H65" t="s">
        <v>27</v>
      </c>
      <c r="I65" t="s">
        <v>27</v>
      </c>
      <c r="J65" t="s">
        <v>20</v>
      </c>
      <c r="K65" t="s">
        <v>21</v>
      </c>
      <c r="L65" t="s">
        <v>27</v>
      </c>
      <c r="M65">
        <v>11</v>
      </c>
      <c r="N65">
        <v>0</v>
      </c>
      <c r="O65" t="s">
        <v>315</v>
      </c>
      <c r="P65" t="s">
        <v>363</v>
      </c>
    </row>
    <row r="66" spans="1:16" x14ac:dyDescent="0.3">
      <c r="A66">
        <v>124</v>
      </c>
      <c r="B66" t="s">
        <v>359</v>
      </c>
      <c r="C66" t="s">
        <v>415</v>
      </c>
      <c r="D66" s="6">
        <v>39925</v>
      </c>
      <c r="E66" t="s">
        <v>243</v>
      </c>
      <c r="F66" t="s">
        <v>360</v>
      </c>
      <c r="G66" t="s">
        <v>260</v>
      </c>
      <c r="H66" t="s">
        <v>50</v>
      </c>
      <c r="I66" t="s">
        <v>260</v>
      </c>
      <c r="J66" t="s">
        <v>40</v>
      </c>
      <c r="K66" t="s">
        <v>21</v>
      </c>
      <c r="L66" t="s">
        <v>260</v>
      </c>
      <c r="M66">
        <v>24</v>
      </c>
      <c r="N66">
        <v>0</v>
      </c>
      <c r="O66" t="s">
        <v>125</v>
      </c>
      <c r="P66" t="s">
        <v>283</v>
      </c>
    </row>
    <row r="67" spans="1:16" x14ac:dyDescent="0.3">
      <c r="A67">
        <v>125</v>
      </c>
      <c r="B67" t="s">
        <v>335</v>
      </c>
      <c r="C67" t="s">
        <v>415</v>
      </c>
      <c r="D67" s="6">
        <v>39926</v>
      </c>
      <c r="E67" t="s">
        <v>59</v>
      </c>
      <c r="F67" t="s">
        <v>337</v>
      </c>
      <c r="G67" t="s">
        <v>38</v>
      </c>
      <c r="H67" t="s">
        <v>19</v>
      </c>
      <c r="I67" t="s">
        <v>38</v>
      </c>
      <c r="J67" t="s">
        <v>40</v>
      </c>
      <c r="K67" t="s">
        <v>21</v>
      </c>
      <c r="L67" t="s">
        <v>38</v>
      </c>
      <c r="M67">
        <v>9</v>
      </c>
      <c r="N67">
        <v>0</v>
      </c>
      <c r="O67" t="s">
        <v>259</v>
      </c>
      <c r="P67" t="s">
        <v>231</v>
      </c>
    </row>
    <row r="68" spans="1:16" x14ac:dyDescent="0.3">
      <c r="A68">
        <v>126</v>
      </c>
      <c r="B68" t="s">
        <v>359</v>
      </c>
      <c r="C68" t="s">
        <v>415</v>
      </c>
      <c r="D68" s="6">
        <v>39926</v>
      </c>
      <c r="E68" t="s">
        <v>157</v>
      </c>
      <c r="F68" t="s">
        <v>360</v>
      </c>
      <c r="G68" t="s">
        <v>31</v>
      </c>
      <c r="H68" t="s">
        <v>27</v>
      </c>
      <c r="I68" t="s">
        <v>27</v>
      </c>
      <c r="J68" t="s">
        <v>20</v>
      </c>
      <c r="K68" t="s">
        <v>138</v>
      </c>
      <c r="L68" t="s">
        <v>31</v>
      </c>
      <c r="M68">
        <v>0</v>
      </c>
      <c r="N68">
        <v>0</v>
      </c>
      <c r="O68" t="s">
        <v>352</v>
      </c>
      <c r="P68" t="s">
        <v>125</v>
      </c>
    </row>
    <row r="69" spans="1:16" x14ac:dyDescent="0.3">
      <c r="A69">
        <v>127</v>
      </c>
      <c r="B69" t="s">
        <v>335</v>
      </c>
      <c r="C69" t="s">
        <v>415</v>
      </c>
      <c r="D69" s="6">
        <v>39927</v>
      </c>
      <c r="E69" t="s">
        <v>362</v>
      </c>
      <c r="F69" t="s">
        <v>337</v>
      </c>
      <c r="G69" t="s">
        <v>50</v>
      </c>
      <c r="H69" t="s">
        <v>45</v>
      </c>
      <c r="I69" t="s">
        <v>50</v>
      </c>
      <c r="J69" t="s">
        <v>40</v>
      </c>
      <c r="K69" t="s">
        <v>21</v>
      </c>
      <c r="L69" t="s">
        <v>45</v>
      </c>
      <c r="M69">
        <v>0</v>
      </c>
      <c r="N69">
        <v>7</v>
      </c>
      <c r="O69" t="s">
        <v>259</v>
      </c>
      <c r="P69" t="s">
        <v>351</v>
      </c>
    </row>
    <row r="70" spans="1:16" x14ac:dyDescent="0.3">
      <c r="A70">
        <v>128</v>
      </c>
      <c r="B70" t="s">
        <v>335</v>
      </c>
      <c r="C70" t="s">
        <v>415</v>
      </c>
      <c r="D70" s="6">
        <v>39928</v>
      </c>
      <c r="E70" t="s">
        <v>361</v>
      </c>
      <c r="F70" t="s">
        <v>337</v>
      </c>
      <c r="G70" t="s">
        <v>260</v>
      </c>
      <c r="H70" t="s">
        <v>39</v>
      </c>
      <c r="I70" t="s">
        <v>260</v>
      </c>
      <c r="J70" t="s">
        <v>40</v>
      </c>
      <c r="K70" t="s">
        <v>21</v>
      </c>
      <c r="L70" t="s">
        <v>260</v>
      </c>
      <c r="M70">
        <v>12</v>
      </c>
      <c r="N70">
        <v>0</v>
      </c>
      <c r="O70" t="s">
        <v>154</v>
      </c>
      <c r="P70" t="s">
        <v>231</v>
      </c>
    </row>
    <row r="71" spans="1:16" x14ac:dyDescent="0.3">
      <c r="A71">
        <v>129</v>
      </c>
      <c r="B71" t="s">
        <v>341</v>
      </c>
      <c r="C71" t="s">
        <v>415</v>
      </c>
      <c r="D71" s="6">
        <v>39929</v>
      </c>
      <c r="E71" t="s">
        <v>358</v>
      </c>
      <c r="F71" t="s">
        <v>342</v>
      </c>
      <c r="G71" t="s">
        <v>50</v>
      </c>
      <c r="H71" t="s">
        <v>38</v>
      </c>
      <c r="I71" t="s">
        <v>50</v>
      </c>
      <c r="J71" t="s">
        <v>40</v>
      </c>
      <c r="K71" t="s">
        <v>21</v>
      </c>
      <c r="L71" t="s">
        <v>38</v>
      </c>
      <c r="M71">
        <v>0</v>
      </c>
      <c r="N71">
        <v>6</v>
      </c>
      <c r="O71" t="s">
        <v>237</v>
      </c>
      <c r="P71" t="s">
        <v>312</v>
      </c>
    </row>
    <row r="72" spans="1:16" x14ac:dyDescent="0.3">
      <c r="A72">
        <v>130</v>
      </c>
      <c r="B72" t="s">
        <v>359</v>
      </c>
      <c r="C72" t="s">
        <v>415</v>
      </c>
      <c r="D72" s="6">
        <v>39929</v>
      </c>
      <c r="E72" t="s">
        <v>266</v>
      </c>
      <c r="F72" t="s">
        <v>360</v>
      </c>
      <c r="G72" t="s">
        <v>45</v>
      </c>
      <c r="H72" t="s">
        <v>31</v>
      </c>
      <c r="I72" t="s">
        <v>45</v>
      </c>
      <c r="J72" t="s">
        <v>40</v>
      </c>
      <c r="K72" t="s">
        <v>21</v>
      </c>
      <c r="L72" t="s">
        <v>45</v>
      </c>
      <c r="M72">
        <v>27</v>
      </c>
      <c r="N72">
        <v>0</v>
      </c>
      <c r="O72" t="s">
        <v>125</v>
      </c>
      <c r="P72" t="s">
        <v>280</v>
      </c>
    </row>
    <row r="73" spans="1:16" x14ac:dyDescent="0.3">
      <c r="A73">
        <v>131</v>
      </c>
      <c r="B73" t="s">
        <v>335</v>
      </c>
      <c r="C73" t="s">
        <v>415</v>
      </c>
      <c r="D73" s="6">
        <v>39930</v>
      </c>
      <c r="E73" t="s">
        <v>357</v>
      </c>
      <c r="F73" t="s">
        <v>337</v>
      </c>
      <c r="G73" t="s">
        <v>19</v>
      </c>
      <c r="H73" t="s">
        <v>260</v>
      </c>
      <c r="I73" t="s">
        <v>260</v>
      </c>
      <c r="J73" t="s">
        <v>20</v>
      </c>
      <c r="K73" t="s">
        <v>21</v>
      </c>
      <c r="L73" t="s">
        <v>260</v>
      </c>
      <c r="M73">
        <v>0</v>
      </c>
      <c r="N73">
        <v>6</v>
      </c>
      <c r="O73" t="s">
        <v>334</v>
      </c>
      <c r="P73" t="s">
        <v>351</v>
      </c>
    </row>
    <row r="74" spans="1:16" x14ac:dyDescent="0.3">
      <c r="A74">
        <v>132</v>
      </c>
      <c r="B74" t="s">
        <v>341</v>
      </c>
      <c r="C74" t="s">
        <v>415</v>
      </c>
      <c r="D74" s="6">
        <v>39930</v>
      </c>
      <c r="E74" t="s">
        <v>247</v>
      </c>
      <c r="F74" t="s">
        <v>342</v>
      </c>
      <c r="G74" t="s">
        <v>39</v>
      </c>
      <c r="H74" t="s">
        <v>27</v>
      </c>
      <c r="I74" t="s">
        <v>39</v>
      </c>
      <c r="J74" t="s">
        <v>40</v>
      </c>
      <c r="K74" t="s">
        <v>21</v>
      </c>
      <c r="L74" t="s">
        <v>39</v>
      </c>
      <c r="M74">
        <v>92</v>
      </c>
      <c r="N74">
        <v>0</v>
      </c>
      <c r="O74" t="s">
        <v>312</v>
      </c>
      <c r="P74" t="s">
        <v>288</v>
      </c>
    </row>
    <row r="75" spans="1:16" x14ac:dyDescent="0.3">
      <c r="A75">
        <v>133</v>
      </c>
      <c r="B75" t="s">
        <v>332</v>
      </c>
      <c r="C75" t="s">
        <v>415</v>
      </c>
      <c r="D75" s="6">
        <v>39931</v>
      </c>
      <c r="E75" t="s">
        <v>157</v>
      </c>
      <c r="F75" t="s">
        <v>333</v>
      </c>
      <c r="G75" t="s">
        <v>38</v>
      </c>
      <c r="H75" t="s">
        <v>31</v>
      </c>
      <c r="I75" t="s">
        <v>38</v>
      </c>
      <c r="J75" t="s">
        <v>40</v>
      </c>
      <c r="K75" t="s">
        <v>21</v>
      </c>
      <c r="L75" t="s">
        <v>31</v>
      </c>
      <c r="M75">
        <v>0</v>
      </c>
      <c r="N75">
        <v>5</v>
      </c>
      <c r="O75" t="s">
        <v>346</v>
      </c>
      <c r="P75" t="s">
        <v>281</v>
      </c>
    </row>
    <row r="76" spans="1:16" x14ac:dyDescent="0.3">
      <c r="A76">
        <v>134</v>
      </c>
      <c r="B76" t="s">
        <v>335</v>
      </c>
      <c r="C76" t="s">
        <v>415</v>
      </c>
      <c r="D76" s="6">
        <v>39932</v>
      </c>
      <c r="E76" t="s">
        <v>356</v>
      </c>
      <c r="F76" t="s">
        <v>337</v>
      </c>
      <c r="G76" t="s">
        <v>27</v>
      </c>
      <c r="H76" t="s">
        <v>50</v>
      </c>
      <c r="I76" t="s">
        <v>27</v>
      </c>
      <c r="J76" t="s">
        <v>40</v>
      </c>
      <c r="K76" t="s">
        <v>21</v>
      </c>
      <c r="L76" t="s">
        <v>50</v>
      </c>
      <c r="M76">
        <v>0</v>
      </c>
      <c r="N76">
        <v>5</v>
      </c>
      <c r="O76" t="s">
        <v>352</v>
      </c>
      <c r="P76" t="s">
        <v>351</v>
      </c>
    </row>
    <row r="77" spans="1:16" x14ac:dyDescent="0.3">
      <c r="A77">
        <v>135</v>
      </c>
      <c r="B77" t="s">
        <v>335</v>
      </c>
      <c r="C77" t="s">
        <v>415</v>
      </c>
      <c r="D77" s="6">
        <v>39932</v>
      </c>
      <c r="E77" t="s">
        <v>266</v>
      </c>
      <c r="F77" t="s">
        <v>337</v>
      </c>
      <c r="G77" t="s">
        <v>45</v>
      </c>
      <c r="H77" t="s">
        <v>39</v>
      </c>
      <c r="I77" t="s">
        <v>45</v>
      </c>
      <c r="J77" t="s">
        <v>40</v>
      </c>
      <c r="K77" t="s">
        <v>21</v>
      </c>
      <c r="L77" t="s">
        <v>45</v>
      </c>
      <c r="M77">
        <v>3</v>
      </c>
      <c r="N77">
        <v>0</v>
      </c>
      <c r="O77" t="s">
        <v>352</v>
      </c>
      <c r="P77" t="s">
        <v>287</v>
      </c>
    </row>
    <row r="78" spans="1:16" x14ac:dyDescent="0.3">
      <c r="A78">
        <v>136</v>
      </c>
      <c r="B78" t="s">
        <v>332</v>
      </c>
      <c r="C78" t="s">
        <v>415</v>
      </c>
      <c r="D78" s="6">
        <v>39933</v>
      </c>
      <c r="E78" t="s">
        <v>355</v>
      </c>
      <c r="F78" t="s">
        <v>333</v>
      </c>
      <c r="G78" t="s">
        <v>260</v>
      </c>
      <c r="H78" t="s">
        <v>38</v>
      </c>
      <c r="I78" t="s">
        <v>38</v>
      </c>
      <c r="J78" t="s">
        <v>20</v>
      </c>
      <c r="K78" t="s">
        <v>21</v>
      </c>
      <c r="L78" t="s">
        <v>38</v>
      </c>
      <c r="M78">
        <v>0</v>
      </c>
      <c r="N78">
        <v>6</v>
      </c>
      <c r="O78" t="s">
        <v>346</v>
      </c>
      <c r="P78" t="s">
        <v>283</v>
      </c>
    </row>
    <row r="79" spans="1:16" x14ac:dyDescent="0.3">
      <c r="A79">
        <v>137</v>
      </c>
      <c r="B79" t="s">
        <v>332</v>
      </c>
      <c r="C79" t="s">
        <v>415</v>
      </c>
      <c r="D79" s="6">
        <v>39933</v>
      </c>
      <c r="E79" t="s">
        <v>144</v>
      </c>
      <c r="F79" t="s">
        <v>333</v>
      </c>
      <c r="G79" t="s">
        <v>19</v>
      </c>
      <c r="H79" t="s">
        <v>31</v>
      </c>
      <c r="I79" t="s">
        <v>31</v>
      </c>
      <c r="J79" t="s">
        <v>20</v>
      </c>
      <c r="K79" t="s">
        <v>21</v>
      </c>
      <c r="L79" t="s">
        <v>19</v>
      </c>
      <c r="M79">
        <v>38</v>
      </c>
      <c r="N79">
        <v>0</v>
      </c>
      <c r="O79" t="s">
        <v>346</v>
      </c>
      <c r="P79" t="s">
        <v>281</v>
      </c>
    </row>
    <row r="80" spans="1:16" x14ac:dyDescent="0.3">
      <c r="A80">
        <v>138</v>
      </c>
      <c r="B80" t="s">
        <v>348</v>
      </c>
      <c r="C80" t="s">
        <v>415</v>
      </c>
      <c r="D80" s="6">
        <v>39934</v>
      </c>
      <c r="E80" t="s">
        <v>207</v>
      </c>
      <c r="F80" t="s">
        <v>349</v>
      </c>
      <c r="G80" t="s">
        <v>39</v>
      </c>
      <c r="H80" t="s">
        <v>27</v>
      </c>
      <c r="I80" t="s">
        <v>39</v>
      </c>
      <c r="J80" t="s">
        <v>40</v>
      </c>
      <c r="K80" t="s">
        <v>21</v>
      </c>
      <c r="L80" t="s">
        <v>39</v>
      </c>
      <c r="M80">
        <v>9</v>
      </c>
      <c r="N80">
        <v>0</v>
      </c>
      <c r="O80" t="s">
        <v>125</v>
      </c>
      <c r="P80" t="s">
        <v>262</v>
      </c>
    </row>
    <row r="81" spans="1:16" x14ac:dyDescent="0.3">
      <c r="A81">
        <v>139</v>
      </c>
      <c r="B81" t="s">
        <v>335</v>
      </c>
      <c r="C81" t="s">
        <v>415</v>
      </c>
      <c r="D81" s="6">
        <v>39934</v>
      </c>
      <c r="E81" t="s">
        <v>152</v>
      </c>
      <c r="F81" t="s">
        <v>337</v>
      </c>
      <c r="G81" t="s">
        <v>50</v>
      </c>
      <c r="H81" t="s">
        <v>45</v>
      </c>
      <c r="I81" t="s">
        <v>50</v>
      </c>
      <c r="J81" t="s">
        <v>40</v>
      </c>
      <c r="K81" t="s">
        <v>21</v>
      </c>
      <c r="L81" t="s">
        <v>50</v>
      </c>
      <c r="M81">
        <v>8</v>
      </c>
      <c r="N81">
        <v>0</v>
      </c>
      <c r="O81" t="s">
        <v>154</v>
      </c>
      <c r="P81" t="s">
        <v>23</v>
      </c>
    </row>
    <row r="82" spans="1:16" x14ac:dyDescent="0.3">
      <c r="A82">
        <v>140</v>
      </c>
      <c r="B82" t="s">
        <v>341</v>
      </c>
      <c r="C82" t="s">
        <v>415</v>
      </c>
      <c r="D82" s="6">
        <v>39935</v>
      </c>
      <c r="E82" t="s">
        <v>157</v>
      </c>
      <c r="F82" t="s">
        <v>342</v>
      </c>
      <c r="G82" t="s">
        <v>260</v>
      </c>
      <c r="H82" t="s">
        <v>31</v>
      </c>
      <c r="I82" t="s">
        <v>260</v>
      </c>
      <c r="J82" t="s">
        <v>40</v>
      </c>
      <c r="K82" t="s">
        <v>21</v>
      </c>
      <c r="L82" t="s">
        <v>31</v>
      </c>
      <c r="M82">
        <v>0</v>
      </c>
      <c r="N82">
        <v>3</v>
      </c>
      <c r="O82" t="s">
        <v>237</v>
      </c>
      <c r="P82" t="s">
        <v>312</v>
      </c>
    </row>
    <row r="83" spans="1:16" x14ac:dyDescent="0.3">
      <c r="A83">
        <v>141</v>
      </c>
      <c r="B83" t="s">
        <v>330</v>
      </c>
      <c r="C83" t="s">
        <v>415</v>
      </c>
      <c r="D83" s="6">
        <v>39935</v>
      </c>
      <c r="E83" t="s">
        <v>354</v>
      </c>
      <c r="F83" t="s">
        <v>331</v>
      </c>
      <c r="G83" t="s">
        <v>19</v>
      </c>
      <c r="H83" t="s">
        <v>38</v>
      </c>
      <c r="I83" t="s">
        <v>38</v>
      </c>
      <c r="J83" t="s">
        <v>20</v>
      </c>
      <c r="K83" t="s">
        <v>21</v>
      </c>
      <c r="L83" t="s">
        <v>19</v>
      </c>
      <c r="M83">
        <v>18</v>
      </c>
      <c r="N83">
        <v>0</v>
      </c>
      <c r="O83" t="s">
        <v>315</v>
      </c>
      <c r="P83" t="s">
        <v>281</v>
      </c>
    </row>
    <row r="84" spans="1:16" x14ac:dyDescent="0.3">
      <c r="A84">
        <v>142</v>
      </c>
      <c r="B84" t="s">
        <v>341</v>
      </c>
      <c r="C84" t="s">
        <v>415</v>
      </c>
      <c r="D84" s="6">
        <v>39936</v>
      </c>
      <c r="E84" t="s">
        <v>304</v>
      </c>
      <c r="F84" t="s">
        <v>342</v>
      </c>
      <c r="G84" t="s">
        <v>27</v>
      </c>
      <c r="H84" t="s">
        <v>45</v>
      </c>
      <c r="I84" t="s">
        <v>27</v>
      </c>
      <c r="J84" t="s">
        <v>40</v>
      </c>
      <c r="K84" t="s">
        <v>21</v>
      </c>
      <c r="L84" t="s">
        <v>45</v>
      </c>
      <c r="M84">
        <v>0</v>
      </c>
      <c r="N84">
        <v>6</v>
      </c>
      <c r="O84" t="s">
        <v>237</v>
      </c>
      <c r="P84" t="s">
        <v>352</v>
      </c>
    </row>
    <row r="85" spans="1:16" x14ac:dyDescent="0.3">
      <c r="A85">
        <v>143</v>
      </c>
      <c r="B85" t="s">
        <v>330</v>
      </c>
      <c r="C85" t="s">
        <v>415</v>
      </c>
      <c r="D85" s="6">
        <v>39936</v>
      </c>
      <c r="E85" t="s">
        <v>230</v>
      </c>
      <c r="F85" t="s">
        <v>331</v>
      </c>
      <c r="G85" t="s">
        <v>39</v>
      </c>
      <c r="H85" t="s">
        <v>50</v>
      </c>
      <c r="I85" t="s">
        <v>39</v>
      </c>
      <c r="J85" t="s">
        <v>40</v>
      </c>
      <c r="K85" t="s">
        <v>21</v>
      </c>
      <c r="L85" t="s">
        <v>50</v>
      </c>
      <c r="M85">
        <v>0</v>
      </c>
      <c r="N85">
        <v>9</v>
      </c>
      <c r="O85" t="s">
        <v>281</v>
      </c>
      <c r="P85" t="s">
        <v>351</v>
      </c>
    </row>
    <row r="86" spans="1:16" x14ac:dyDescent="0.3">
      <c r="A86">
        <v>144</v>
      </c>
      <c r="B86" t="s">
        <v>348</v>
      </c>
      <c r="C86" t="s">
        <v>415</v>
      </c>
      <c r="D86" s="6">
        <v>39937</v>
      </c>
      <c r="E86" t="s">
        <v>87</v>
      </c>
      <c r="F86" t="s">
        <v>349</v>
      </c>
      <c r="G86" t="s">
        <v>19</v>
      </c>
      <c r="H86" t="s">
        <v>260</v>
      </c>
      <c r="I86" t="s">
        <v>19</v>
      </c>
      <c r="J86" t="s">
        <v>40</v>
      </c>
      <c r="K86" t="s">
        <v>21</v>
      </c>
      <c r="L86" t="s">
        <v>19</v>
      </c>
      <c r="M86">
        <v>78</v>
      </c>
      <c r="N86">
        <v>0</v>
      </c>
      <c r="O86" t="s">
        <v>259</v>
      </c>
      <c r="P86" t="s">
        <v>125</v>
      </c>
    </row>
    <row r="87" spans="1:16" x14ac:dyDescent="0.3">
      <c r="A87">
        <v>145</v>
      </c>
      <c r="B87" t="s">
        <v>335</v>
      </c>
      <c r="C87" t="s">
        <v>415</v>
      </c>
      <c r="D87" s="6">
        <v>39938</v>
      </c>
      <c r="E87" t="s">
        <v>353</v>
      </c>
      <c r="F87" t="s">
        <v>337</v>
      </c>
      <c r="G87" t="s">
        <v>31</v>
      </c>
      <c r="H87" t="s">
        <v>45</v>
      </c>
      <c r="I87" t="s">
        <v>45</v>
      </c>
      <c r="J87" t="s">
        <v>20</v>
      </c>
      <c r="K87" t="s">
        <v>21</v>
      </c>
      <c r="L87" t="s">
        <v>31</v>
      </c>
      <c r="M87">
        <v>78</v>
      </c>
      <c r="N87">
        <v>0</v>
      </c>
      <c r="O87" t="s">
        <v>220</v>
      </c>
      <c r="P87" t="s">
        <v>334</v>
      </c>
    </row>
    <row r="88" spans="1:16" x14ac:dyDescent="0.3">
      <c r="A88">
        <v>146</v>
      </c>
      <c r="B88" t="s">
        <v>335</v>
      </c>
      <c r="C88" t="s">
        <v>415</v>
      </c>
      <c r="D88" s="6">
        <v>39938</v>
      </c>
      <c r="E88" t="s">
        <v>139</v>
      </c>
      <c r="F88" t="s">
        <v>337</v>
      </c>
      <c r="G88" t="s">
        <v>27</v>
      </c>
      <c r="H88" t="s">
        <v>38</v>
      </c>
      <c r="I88" t="s">
        <v>27</v>
      </c>
      <c r="J88" t="s">
        <v>40</v>
      </c>
      <c r="K88" t="s">
        <v>21</v>
      </c>
      <c r="L88" t="s">
        <v>38</v>
      </c>
      <c r="M88">
        <v>0</v>
      </c>
      <c r="N88">
        <v>9</v>
      </c>
      <c r="O88" t="s">
        <v>346</v>
      </c>
      <c r="P88" t="s">
        <v>334</v>
      </c>
    </row>
    <row r="89" spans="1:16" x14ac:dyDescent="0.3">
      <c r="A89">
        <v>147</v>
      </c>
      <c r="B89" t="s">
        <v>332</v>
      </c>
      <c r="C89" t="s">
        <v>415</v>
      </c>
      <c r="D89" s="6">
        <v>39939</v>
      </c>
      <c r="E89" t="s">
        <v>83</v>
      </c>
      <c r="F89" t="s">
        <v>333</v>
      </c>
      <c r="G89" t="s">
        <v>260</v>
      </c>
      <c r="H89" t="s">
        <v>39</v>
      </c>
      <c r="I89" t="s">
        <v>260</v>
      </c>
      <c r="J89" t="s">
        <v>40</v>
      </c>
      <c r="K89" t="s">
        <v>21</v>
      </c>
      <c r="L89" t="s">
        <v>260</v>
      </c>
      <c r="M89">
        <v>19</v>
      </c>
      <c r="N89">
        <v>0</v>
      </c>
      <c r="O89" t="s">
        <v>352</v>
      </c>
      <c r="P89" t="s">
        <v>154</v>
      </c>
    </row>
    <row r="90" spans="1:16" x14ac:dyDescent="0.3">
      <c r="A90">
        <v>148</v>
      </c>
      <c r="B90" t="s">
        <v>332</v>
      </c>
      <c r="C90" t="s">
        <v>415</v>
      </c>
      <c r="D90" s="6">
        <v>39940</v>
      </c>
      <c r="E90" t="s">
        <v>350</v>
      </c>
      <c r="F90" t="s">
        <v>333</v>
      </c>
      <c r="G90" t="s">
        <v>50</v>
      </c>
      <c r="H90" t="s">
        <v>31</v>
      </c>
      <c r="I90" t="s">
        <v>31</v>
      </c>
      <c r="J90" t="s">
        <v>20</v>
      </c>
      <c r="K90" t="s">
        <v>21</v>
      </c>
      <c r="L90" t="s">
        <v>31</v>
      </c>
      <c r="M90">
        <v>0</v>
      </c>
      <c r="N90">
        <v>7</v>
      </c>
      <c r="O90" t="s">
        <v>280</v>
      </c>
      <c r="P90" t="s">
        <v>315</v>
      </c>
    </row>
    <row r="91" spans="1:16" x14ac:dyDescent="0.3">
      <c r="A91">
        <v>149</v>
      </c>
      <c r="B91" t="s">
        <v>332</v>
      </c>
      <c r="C91" t="s">
        <v>415</v>
      </c>
      <c r="D91" s="6">
        <v>39940</v>
      </c>
      <c r="E91" t="s">
        <v>327</v>
      </c>
      <c r="F91" t="s">
        <v>333</v>
      </c>
      <c r="G91" t="s">
        <v>19</v>
      </c>
      <c r="H91" t="s">
        <v>45</v>
      </c>
      <c r="I91" t="s">
        <v>19</v>
      </c>
      <c r="J91" t="s">
        <v>40</v>
      </c>
      <c r="K91" t="s">
        <v>21</v>
      </c>
      <c r="L91" t="s">
        <v>19</v>
      </c>
      <c r="M91">
        <v>12</v>
      </c>
      <c r="N91">
        <v>0</v>
      </c>
      <c r="O91" t="s">
        <v>315</v>
      </c>
      <c r="P91" t="s">
        <v>351</v>
      </c>
    </row>
    <row r="92" spans="1:16" x14ac:dyDescent="0.3">
      <c r="A92">
        <v>150</v>
      </c>
      <c r="B92" t="s">
        <v>348</v>
      </c>
      <c r="C92" t="s">
        <v>415</v>
      </c>
      <c r="D92" s="6">
        <v>39941</v>
      </c>
      <c r="E92" t="s">
        <v>168</v>
      </c>
      <c r="F92" t="s">
        <v>349</v>
      </c>
      <c r="G92" t="s">
        <v>39</v>
      </c>
      <c r="H92" t="s">
        <v>38</v>
      </c>
      <c r="I92" t="s">
        <v>39</v>
      </c>
      <c r="J92" t="s">
        <v>40</v>
      </c>
      <c r="K92" t="s">
        <v>21</v>
      </c>
      <c r="L92" t="s">
        <v>38</v>
      </c>
      <c r="M92">
        <v>0</v>
      </c>
      <c r="N92">
        <v>7</v>
      </c>
      <c r="O92" t="s">
        <v>125</v>
      </c>
      <c r="P92" t="s">
        <v>262</v>
      </c>
    </row>
    <row r="93" spans="1:16" x14ac:dyDescent="0.3">
      <c r="A93">
        <v>151</v>
      </c>
      <c r="B93" t="s">
        <v>344</v>
      </c>
      <c r="C93" t="s">
        <v>415</v>
      </c>
      <c r="D93" s="6">
        <v>39942</v>
      </c>
      <c r="E93" t="s">
        <v>304</v>
      </c>
      <c r="F93" t="s">
        <v>345</v>
      </c>
      <c r="G93" t="s">
        <v>260</v>
      </c>
      <c r="H93" t="s">
        <v>45</v>
      </c>
      <c r="I93" t="s">
        <v>45</v>
      </c>
      <c r="J93" t="s">
        <v>20</v>
      </c>
      <c r="K93" t="s">
        <v>21</v>
      </c>
      <c r="L93" t="s">
        <v>45</v>
      </c>
      <c r="M93">
        <v>0</v>
      </c>
      <c r="N93">
        <v>3</v>
      </c>
      <c r="O93" t="s">
        <v>346</v>
      </c>
      <c r="P93" t="s">
        <v>283</v>
      </c>
    </row>
    <row r="94" spans="1:16" x14ac:dyDescent="0.3">
      <c r="A94">
        <v>152</v>
      </c>
      <c r="B94" t="s">
        <v>344</v>
      </c>
      <c r="C94" t="s">
        <v>415</v>
      </c>
      <c r="D94" s="6">
        <v>39942</v>
      </c>
      <c r="E94" t="s">
        <v>347</v>
      </c>
      <c r="F94" t="s">
        <v>345</v>
      </c>
      <c r="G94" t="s">
        <v>31</v>
      </c>
      <c r="H94" t="s">
        <v>19</v>
      </c>
      <c r="I94" t="s">
        <v>31</v>
      </c>
      <c r="J94" t="s">
        <v>40</v>
      </c>
      <c r="K94" t="s">
        <v>21</v>
      </c>
      <c r="L94" t="s">
        <v>19</v>
      </c>
      <c r="M94">
        <v>0</v>
      </c>
      <c r="N94">
        <v>7</v>
      </c>
      <c r="O94" t="s">
        <v>346</v>
      </c>
      <c r="P94" t="s">
        <v>154</v>
      </c>
    </row>
    <row r="95" spans="1:16" x14ac:dyDescent="0.3">
      <c r="A95">
        <v>153</v>
      </c>
      <c r="B95" t="s">
        <v>341</v>
      </c>
      <c r="C95" t="s">
        <v>415</v>
      </c>
      <c r="D95" s="6">
        <v>39943</v>
      </c>
      <c r="E95" t="s">
        <v>207</v>
      </c>
      <c r="F95" t="s">
        <v>342</v>
      </c>
      <c r="G95" t="s">
        <v>39</v>
      </c>
      <c r="H95" t="s">
        <v>50</v>
      </c>
      <c r="I95" t="s">
        <v>39</v>
      </c>
      <c r="J95" t="s">
        <v>40</v>
      </c>
      <c r="K95" t="s">
        <v>21</v>
      </c>
      <c r="L95" t="s">
        <v>39</v>
      </c>
      <c r="M95">
        <v>16</v>
      </c>
      <c r="N95">
        <v>0</v>
      </c>
      <c r="O95" t="s">
        <v>259</v>
      </c>
      <c r="P95" t="s">
        <v>312</v>
      </c>
    </row>
    <row r="96" spans="1:16" x14ac:dyDescent="0.3">
      <c r="A96">
        <v>154</v>
      </c>
      <c r="B96" t="s">
        <v>330</v>
      </c>
      <c r="C96" t="s">
        <v>415</v>
      </c>
      <c r="D96" s="6">
        <v>39943</v>
      </c>
      <c r="E96" t="s">
        <v>36</v>
      </c>
      <c r="F96" t="s">
        <v>331</v>
      </c>
      <c r="G96" t="s">
        <v>27</v>
      </c>
      <c r="H96" t="s">
        <v>38</v>
      </c>
      <c r="I96" t="s">
        <v>38</v>
      </c>
      <c r="J96" t="s">
        <v>20</v>
      </c>
      <c r="K96" t="s">
        <v>21</v>
      </c>
      <c r="L96" t="s">
        <v>38</v>
      </c>
      <c r="M96">
        <v>0</v>
      </c>
      <c r="N96">
        <v>7</v>
      </c>
      <c r="O96" t="s">
        <v>287</v>
      </c>
      <c r="P96" t="s">
        <v>288</v>
      </c>
    </row>
    <row r="97" spans="1:16" x14ac:dyDescent="0.3">
      <c r="A97">
        <v>155</v>
      </c>
      <c r="B97" t="s">
        <v>344</v>
      </c>
      <c r="C97" t="s">
        <v>415</v>
      </c>
      <c r="D97" s="6">
        <v>39944</v>
      </c>
      <c r="E97" t="s">
        <v>126</v>
      </c>
      <c r="F97" t="s">
        <v>345</v>
      </c>
      <c r="G97" t="s">
        <v>260</v>
      </c>
      <c r="H97" t="s">
        <v>31</v>
      </c>
      <c r="I97" t="s">
        <v>260</v>
      </c>
      <c r="J97" t="s">
        <v>40</v>
      </c>
      <c r="K97" t="s">
        <v>21</v>
      </c>
      <c r="L97" t="s">
        <v>260</v>
      </c>
      <c r="M97">
        <v>53</v>
      </c>
      <c r="N97">
        <v>0</v>
      </c>
      <c r="O97" t="s">
        <v>346</v>
      </c>
      <c r="P97" t="s">
        <v>154</v>
      </c>
    </row>
    <row r="98" spans="1:16" x14ac:dyDescent="0.3">
      <c r="A98">
        <v>156</v>
      </c>
      <c r="B98" t="s">
        <v>332</v>
      </c>
      <c r="C98" t="s">
        <v>415</v>
      </c>
      <c r="D98" s="6">
        <v>39945</v>
      </c>
      <c r="E98" t="s">
        <v>297</v>
      </c>
      <c r="F98" t="s">
        <v>333</v>
      </c>
      <c r="G98" t="s">
        <v>27</v>
      </c>
      <c r="H98" t="s">
        <v>50</v>
      </c>
      <c r="I98" t="s">
        <v>50</v>
      </c>
      <c r="J98" t="s">
        <v>20</v>
      </c>
      <c r="K98" t="s">
        <v>21</v>
      </c>
      <c r="L98" t="s">
        <v>50</v>
      </c>
      <c r="M98">
        <v>0</v>
      </c>
      <c r="N98">
        <v>6</v>
      </c>
      <c r="O98" t="s">
        <v>125</v>
      </c>
      <c r="P98" t="s">
        <v>220</v>
      </c>
    </row>
    <row r="99" spans="1:16" x14ac:dyDescent="0.3">
      <c r="A99">
        <v>157</v>
      </c>
      <c r="B99" t="s">
        <v>332</v>
      </c>
      <c r="C99" t="s">
        <v>415</v>
      </c>
      <c r="D99" s="6">
        <v>39945</v>
      </c>
      <c r="E99" t="s">
        <v>195</v>
      </c>
      <c r="F99" t="s">
        <v>333</v>
      </c>
      <c r="G99" t="s">
        <v>45</v>
      </c>
      <c r="H99" t="s">
        <v>39</v>
      </c>
      <c r="I99" t="s">
        <v>45</v>
      </c>
      <c r="J99" t="s">
        <v>40</v>
      </c>
      <c r="K99" t="s">
        <v>21</v>
      </c>
      <c r="L99" t="s">
        <v>39</v>
      </c>
      <c r="M99">
        <v>0</v>
      </c>
      <c r="N99">
        <v>8</v>
      </c>
      <c r="O99" t="s">
        <v>220</v>
      </c>
      <c r="P99" t="s">
        <v>281</v>
      </c>
    </row>
    <row r="100" spans="1:16" x14ac:dyDescent="0.3">
      <c r="A100">
        <v>158</v>
      </c>
      <c r="B100" t="s">
        <v>335</v>
      </c>
      <c r="C100" t="s">
        <v>415</v>
      </c>
      <c r="D100" s="6">
        <v>39946</v>
      </c>
      <c r="E100" t="s">
        <v>343</v>
      </c>
      <c r="F100" t="s">
        <v>337</v>
      </c>
      <c r="G100" t="s">
        <v>38</v>
      </c>
      <c r="H100" t="s">
        <v>260</v>
      </c>
      <c r="I100" t="s">
        <v>260</v>
      </c>
      <c r="J100" t="s">
        <v>20</v>
      </c>
      <c r="K100" t="s">
        <v>21</v>
      </c>
      <c r="L100" t="s">
        <v>38</v>
      </c>
      <c r="M100">
        <v>12</v>
      </c>
      <c r="N100">
        <v>0</v>
      </c>
      <c r="O100" t="s">
        <v>315</v>
      </c>
      <c r="P100" t="s">
        <v>287</v>
      </c>
    </row>
    <row r="101" spans="1:16" x14ac:dyDescent="0.3">
      <c r="A101">
        <v>159</v>
      </c>
      <c r="B101" t="s">
        <v>335</v>
      </c>
      <c r="C101" t="s">
        <v>415</v>
      </c>
      <c r="D101" s="6">
        <v>39947</v>
      </c>
      <c r="E101" t="s">
        <v>297</v>
      </c>
      <c r="F101" t="s">
        <v>337</v>
      </c>
      <c r="G101" t="s">
        <v>19</v>
      </c>
      <c r="H101" t="s">
        <v>50</v>
      </c>
      <c r="I101" t="s">
        <v>19</v>
      </c>
      <c r="J101" t="s">
        <v>40</v>
      </c>
      <c r="K101" t="s">
        <v>21</v>
      </c>
      <c r="L101" t="s">
        <v>50</v>
      </c>
      <c r="M101">
        <v>0</v>
      </c>
      <c r="N101">
        <v>2</v>
      </c>
      <c r="O101" t="s">
        <v>259</v>
      </c>
      <c r="P101" t="s">
        <v>315</v>
      </c>
    </row>
    <row r="102" spans="1:16" x14ac:dyDescent="0.3">
      <c r="A102">
        <v>160</v>
      </c>
      <c r="B102" t="s">
        <v>335</v>
      </c>
      <c r="C102" t="s">
        <v>415</v>
      </c>
      <c r="D102" s="6">
        <v>39947</v>
      </c>
      <c r="E102" t="s">
        <v>303</v>
      </c>
      <c r="F102" t="s">
        <v>337</v>
      </c>
      <c r="G102" t="s">
        <v>31</v>
      </c>
      <c r="H102" t="s">
        <v>39</v>
      </c>
      <c r="I102" t="s">
        <v>31</v>
      </c>
      <c r="J102" t="s">
        <v>40</v>
      </c>
      <c r="K102" t="s">
        <v>21</v>
      </c>
      <c r="L102" t="s">
        <v>31</v>
      </c>
      <c r="M102">
        <v>2</v>
      </c>
      <c r="N102">
        <v>0</v>
      </c>
      <c r="O102" t="s">
        <v>259</v>
      </c>
      <c r="P102" t="s">
        <v>315</v>
      </c>
    </row>
    <row r="103" spans="1:16" x14ac:dyDescent="0.3">
      <c r="A103">
        <v>161</v>
      </c>
      <c r="B103" t="s">
        <v>339</v>
      </c>
      <c r="C103" t="s">
        <v>415</v>
      </c>
      <c r="D103" s="6">
        <v>39948</v>
      </c>
      <c r="E103" t="s">
        <v>268</v>
      </c>
      <c r="F103" t="s">
        <v>340</v>
      </c>
      <c r="G103" t="s">
        <v>38</v>
      </c>
      <c r="H103" t="s">
        <v>45</v>
      </c>
      <c r="I103" t="s">
        <v>45</v>
      </c>
      <c r="J103" t="s">
        <v>20</v>
      </c>
      <c r="K103" t="s">
        <v>21</v>
      </c>
      <c r="L103" t="s">
        <v>45</v>
      </c>
      <c r="M103">
        <v>0</v>
      </c>
      <c r="N103">
        <v>6</v>
      </c>
      <c r="O103" t="s">
        <v>154</v>
      </c>
      <c r="P103" t="s">
        <v>334</v>
      </c>
    </row>
    <row r="104" spans="1:16" x14ac:dyDescent="0.3">
      <c r="A104">
        <v>162</v>
      </c>
      <c r="B104" t="s">
        <v>341</v>
      </c>
      <c r="C104" t="s">
        <v>415</v>
      </c>
      <c r="D104" s="6">
        <v>39949</v>
      </c>
      <c r="E104" t="s">
        <v>327</v>
      </c>
      <c r="F104" t="s">
        <v>342</v>
      </c>
      <c r="G104" t="s">
        <v>39</v>
      </c>
      <c r="H104" t="s">
        <v>19</v>
      </c>
      <c r="I104" t="s">
        <v>39</v>
      </c>
      <c r="J104" t="s">
        <v>40</v>
      </c>
      <c r="K104" t="s">
        <v>21</v>
      </c>
      <c r="L104" t="s">
        <v>19</v>
      </c>
      <c r="M104">
        <v>0</v>
      </c>
      <c r="N104">
        <v>7</v>
      </c>
      <c r="O104" t="s">
        <v>262</v>
      </c>
      <c r="P104" t="s">
        <v>231</v>
      </c>
    </row>
    <row r="105" spans="1:16" x14ac:dyDescent="0.3">
      <c r="A105">
        <v>163</v>
      </c>
      <c r="B105" t="s">
        <v>330</v>
      </c>
      <c r="C105" t="s">
        <v>415</v>
      </c>
      <c r="D105" s="6">
        <v>39949</v>
      </c>
      <c r="E105" t="s">
        <v>83</v>
      </c>
      <c r="F105" t="s">
        <v>331</v>
      </c>
      <c r="G105" t="s">
        <v>27</v>
      </c>
      <c r="H105" t="s">
        <v>260</v>
      </c>
      <c r="I105" t="s">
        <v>260</v>
      </c>
      <c r="J105" t="s">
        <v>20</v>
      </c>
      <c r="K105" t="s">
        <v>21</v>
      </c>
      <c r="L105" t="s">
        <v>260</v>
      </c>
      <c r="M105">
        <v>0</v>
      </c>
      <c r="N105">
        <v>6</v>
      </c>
      <c r="O105" t="s">
        <v>281</v>
      </c>
      <c r="P105" t="s">
        <v>23</v>
      </c>
    </row>
    <row r="106" spans="1:16" x14ac:dyDescent="0.3">
      <c r="A106">
        <v>164</v>
      </c>
      <c r="B106" t="s">
        <v>330</v>
      </c>
      <c r="C106" t="s">
        <v>415</v>
      </c>
      <c r="D106" s="6">
        <v>39950</v>
      </c>
      <c r="E106" t="s">
        <v>152</v>
      </c>
      <c r="F106" t="s">
        <v>331</v>
      </c>
      <c r="G106" t="s">
        <v>45</v>
      </c>
      <c r="H106" t="s">
        <v>260</v>
      </c>
      <c r="I106" t="s">
        <v>260</v>
      </c>
      <c r="J106" t="s">
        <v>20</v>
      </c>
      <c r="K106" t="s">
        <v>21</v>
      </c>
      <c r="L106" t="s">
        <v>45</v>
      </c>
      <c r="M106">
        <v>1</v>
      </c>
      <c r="N106">
        <v>0</v>
      </c>
      <c r="O106" t="s">
        <v>23</v>
      </c>
      <c r="P106" t="s">
        <v>288</v>
      </c>
    </row>
    <row r="107" spans="1:16" x14ac:dyDescent="0.3">
      <c r="A107">
        <v>165</v>
      </c>
      <c r="B107" t="s">
        <v>339</v>
      </c>
      <c r="C107" t="s">
        <v>415</v>
      </c>
      <c r="D107" s="6">
        <v>39950</v>
      </c>
      <c r="E107" t="s">
        <v>59</v>
      </c>
      <c r="F107" t="s">
        <v>340</v>
      </c>
      <c r="G107" t="s">
        <v>38</v>
      </c>
      <c r="H107" t="s">
        <v>31</v>
      </c>
      <c r="I107" t="s">
        <v>38</v>
      </c>
      <c r="J107" t="s">
        <v>40</v>
      </c>
      <c r="K107" t="s">
        <v>21</v>
      </c>
      <c r="L107" t="s">
        <v>38</v>
      </c>
      <c r="M107">
        <v>14</v>
      </c>
      <c r="N107">
        <v>0</v>
      </c>
      <c r="O107" t="s">
        <v>220</v>
      </c>
      <c r="P107" t="s">
        <v>334</v>
      </c>
    </row>
    <row r="108" spans="1:16" x14ac:dyDescent="0.3">
      <c r="A108">
        <v>166</v>
      </c>
      <c r="B108" t="s">
        <v>332</v>
      </c>
      <c r="C108" t="s">
        <v>415</v>
      </c>
      <c r="D108" s="6">
        <v>39951</v>
      </c>
      <c r="E108" t="s">
        <v>232</v>
      </c>
      <c r="F108" t="s">
        <v>333</v>
      </c>
      <c r="G108" t="s">
        <v>19</v>
      </c>
      <c r="H108" t="s">
        <v>27</v>
      </c>
      <c r="I108" t="s">
        <v>19</v>
      </c>
      <c r="J108" t="s">
        <v>40</v>
      </c>
      <c r="K108" t="s">
        <v>21</v>
      </c>
      <c r="L108" t="s">
        <v>27</v>
      </c>
      <c r="M108">
        <v>0</v>
      </c>
      <c r="N108">
        <v>7</v>
      </c>
      <c r="O108" t="s">
        <v>231</v>
      </c>
      <c r="P108" t="s">
        <v>288</v>
      </c>
    </row>
    <row r="109" spans="1:16" x14ac:dyDescent="0.3">
      <c r="A109">
        <v>167</v>
      </c>
      <c r="B109" t="s">
        <v>330</v>
      </c>
      <c r="C109" t="s">
        <v>415</v>
      </c>
      <c r="D109" s="6">
        <v>39952</v>
      </c>
      <c r="E109" t="s">
        <v>230</v>
      </c>
      <c r="F109" t="s">
        <v>331</v>
      </c>
      <c r="G109" t="s">
        <v>38</v>
      </c>
      <c r="H109" t="s">
        <v>50</v>
      </c>
      <c r="I109" t="s">
        <v>38</v>
      </c>
      <c r="J109" t="s">
        <v>40</v>
      </c>
      <c r="K109" t="s">
        <v>21</v>
      </c>
      <c r="L109" t="s">
        <v>50</v>
      </c>
      <c r="M109">
        <v>0</v>
      </c>
      <c r="N109">
        <v>7</v>
      </c>
      <c r="O109" t="s">
        <v>334</v>
      </c>
      <c r="P109" t="s">
        <v>288</v>
      </c>
    </row>
    <row r="110" spans="1:16" x14ac:dyDescent="0.3">
      <c r="A110">
        <v>168</v>
      </c>
      <c r="B110" t="s">
        <v>335</v>
      </c>
      <c r="C110" t="s">
        <v>415</v>
      </c>
      <c r="D110" s="6">
        <v>39953</v>
      </c>
      <c r="E110" t="s">
        <v>336</v>
      </c>
      <c r="F110" t="s">
        <v>337</v>
      </c>
      <c r="G110" t="s">
        <v>31</v>
      </c>
      <c r="H110" t="s">
        <v>27</v>
      </c>
      <c r="I110" t="s">
        <v>27</v>
      </c>
      <c r="J110" t="s">
        <v>20</v>
      </c>
      <c r="K110" t="s">
        <v>21</v>
      </c>
      <c r="L110" t="s">
        <v>27</v>
      </c>
      <c r="M110">
        <v>0</v>
      </c>
      <c r="N110">
        <v>4</v>
      </c>
      <c r="O110" t="s">
        <v>312</v>
      </c>
      <c r="P110" t="s">
        <v>231</v>
      </c>
    </row>
    <row r="111" spans="1:16" x14ac:dyDescent="0.3">
      <c r="A111">
        <v>169</v>
      </c>
      <c r="B111" t="s">
        <v>335</v>
      </c>
      <c r="C111" t="s">
        <v>415</v>
      </c>
      <c r="D111" s="6">
        <v>39953</v>
      </c>
      <c r="E111" t="s">
        <v>338</v>
      </c>
      <c r="F111" t="s">
        <v>337</v>
      </c>
      <c r="G111" t="s">
        <v>19</v>
      </c>
      <c r="H111" t="s">
        <v>45</v>
      </c>
      <c r="I111" t="s">
        <v>19</v>
      </c>
      <c r="J111" t="s">
        <v>40</v>
      </c>
      <c r="K111" t="s">
        <v>21</v>
      </c>
      <c r="L111" t="s">
        <v>19</v>
      </c>
      <c r="M111">
        <v>24</v>
      </c>
      <c r="N111">
        <v>0</v>
      </c>
      <c r="O111" t="s">
        <v>312</v>
      </c>
      <c r="P111" t="s">
        <v>231</v>
      </c>
    </row>
    <row r="112" spans="1:16" x14ac:dyDescent="0.3">
      <c r="A112">
        <v>170</v>
      </c>
      <c r="B112" t="s">
        <v>332</v>
      </c>
      <c r="C112" t="s">
        <v>415</v>
      </c>
      <c r="D112" s="6">
        <v>39954</v>
      </c>
      <c r="E112" t="s">
        <v>214</v>
      </c>
      <c r="F112" t="s">
        <v>333</v>
      </c>
      <c r="G112" t="s">
        <v>39</v>
      </c>
      <c r="H112" t="s">
        <v>38</v>
      </c>
      <c r="I112" t="s">
        <v>38</v>
      </c>
      <c r="J112" t="s">
        <v>20</v>
      </c>
      <c r="K112" t="s">
        <v>21</v>
      </c>
      <c r="L112" t="s">
        <v>38</v>
      </c>
      <c r="M112">
        <v>0</v>
      </c>
      <c r="N112">
        <v>4</v>
      </c>
      <c r="O112" t="s">
        <v>334</v>
      </c>
      <c r="P112" t="s">
        <v>23</v>
      </c>
    </row>
    <row r="113" spans="1:16" x14ac:dyDescent="0.3">
      <c r="A113">
        <v>171</v>
      </c>
      <c r="B113" t="s">
        <v>332</v>
      </c>
      <c r="C113" t="s">
        <v>415</v>
      </c>
      <c r="D113" s="6">
        <v>39954</v>
      </c>
      <c r="E113" t="s">
        <v>213</v>
      </c>
      <c r="F113" t="s">
        <v>333</v>
      </c>
      <c r="G113" t="s">
        <v>50</v>
      </c>
      <c r="H113" t="s">
        <v>260</v>
      </c>
      <c r="I113" t="s">
        <v>50</v>
      </c>
      <c r="J113" t="s">
        <v>40</v>
      </c>
      <c r="K113" t="s">
        <v>21</v>
      </c>
      <c r="L113" t="s">
        <v>50</v>
      </c>
      <c r="M113">
        <v>12</v>
      </c>
      <c r="N113">
        <v>0</v>
      </c>
      <c r="O113" t="s">
        <v>334</v>
      </c>
      <c r="P113" t="s">
        <v>23</v>
      </c>
    </row>
    <row r="114" spans="1:16" x14ac:dyDescent="0.3">
      <c r="A114">
        <v>172</v>
      </c>
      <c r="B114" t="s">
        <v>332</v>
      </c>
      <c r="C114" t="s">
        <v>415</v>
      </c>
      <c r="D114" s="6">
        <v>39955</v>
      </c>
      <c r="E114" t="s">
        <v>243</v>
      </c>
      <c r="F114" t="s">
        <v>333</v>
      </c>
      <c r="G114" t="s">
        <v>38</v>
      </c>
      <c r="H114" t="s">
        <v>260</v>
      </c>
      <c r="I114" t="s">
        <v>260</v>
      </c>
      <c r="J114" t="s">
        <v>20</v>
      </c>
      <c r="K114" t="s">
        <v>21</v>
      </c>
      <c r="L114" t="s">
        <v>260</v>
      </c>
      <c r="M114">
        <v>0</v>
      </c>
      <c r="N114">
        <v>6</v>
      </c>
      <c r="O114" t="s">
        <v>259</v>
      </c>
      <c r="P114" t="s">
        <v>315</v>
      </c>
    </row>
    <row r="115" spans="1:16" x14ac:dyDescent="0.3">
      <c r="A115">
        <v>173</v>
      </c>
      <c r="B115" t="s">
        <v>330</v>
      </c>
      <c r="C115" t="s">
        <v>415</v>
      </c>
      <c r="D115" s="6">
        <v>39956</v>
      </c>
      <c r="E115" t="s">
        <v>213</v>
      </c>
      <c r="F115" t="s">
        <v>331</v>
      </c>
      <c r="G115" t="s">
        <v>19</v>
      </c>
      <c r="H115" t="s">
        <v>50</v>
      </c>
      <c r="I115" t="s">
        <v>50</v>
      </c>
      <c r="J115" t="s">
        <v>20</v>
      </c>
      <c r="K115" t="s">
        <v>21</v>
      </c>
      <c r="L115" t="s">
        <v>50</v>
      </c>
      <c r="M115">
        <v>0</v>
      </c>
      <c r="N115">
        <v>6</v>
      </c>
      <c r="O115" t="s">
        <v>281</v>
      </c>
      <c r="P115" t="s">
        <v>231</v>
      </c>
    </row>
    <row r="116" spans="1:16" x14ac:dyDescent="0.3">
      <c r="A116">
        <v>174</v>
      </c>
      <c r="B116" t="s">
        <v>330</v>
      </c>
      <c r="C116" t="s">
        <v>415</v>
      </c>
      <c r="D116" s="6">
        <v>39957</v>
      </c>
      <c r="E116" t="s">
        <v>310</v>
      </c>
      <c r="F116" t="s">
        <v>331</v>
      </c>
      <c r="G116" t="s">
        <v>260</v>
      </c>
      <c r="H116" t="s">
        <v>50</v>
      </c>
      <c r="I116" t="s">
        <v>50</v>
      </c>
      <c r="J116" t="s">
        <v>20</v>
      </c>
      <c r="K116" t="s">
        <v>21</v>
      </c>
      <c r="L116" t="s">
        <v>260</v>
      </c>
      <c r="M116">
        <v>6</v>
      </c>
      <c r="N116">
        <v>0</v>
      </c>
      <c r="O116" t="s">
        <v>281</v>
      </c>
      <c r="P116" t="s">
        <v>231</v>
      </c>
    </row>
    <row r="117" spans="1:16" x14ac:dyDescent="0.3">
      <c r="A117">
        <v>175</v>
      </c>
      <c r="B117" t="s">
        <v>15</v>
      </c>
      <c r="C117" t="s">
        <v>412</v>
      </c>
      <c r="D117" s="6">
        <v>40249</v>
      </c>
      <c r="E117" t="s">
        <v>329</v>
      </c>
      <c r="F117" t="s">
        <v>285</v>
      </c>
      <c r="G117" t="s">
        <v>27</v>
      </c>
      <c r="H117" t="s">
        <v>260</v>
      </c>
      <c r="I117" t="s">
        <v>260</v>
      </c>
      <c r="J117" t="s">
        <v>20</v>
      </c>
      <c r="K117" t="s">
        <v>21</v>
      </c>
      <c r="L117" t="s">
        <v>27</v>
      </c>
      <c r="M117">
        <v>11</v>
      </c>
      <c r="N117">
        <v>0</v>
      </c>
      <c r="O117" t="s">
        <v>281</v>
      </c>
      <c r="P117" t="s">
        <v>288</v>
      </c>
    </row>
    <row r="118" spans="1:16" x14ac:dyDescent="0.3">
      <c r="A118">
        <v>176</v>
      </c>
      <c r="B118" t="s">
        <v>15</v>
      </c>
      <c r="C118" t="s">
        <v>412</v>
      </c>
      <c r="D118" s="6">
        <v>40250</v>
      </c>
      <c r="E118" t="s">
        <v>157</v>
      </c>
      <c r="F118" t="s">
        <v>189</v>
      </c>
      <c r="G118" t="s">
        <v>39</v>
      </c>
      <c r="H118" t="s">
        <v>31</v>
      </c>
      <c r="I118" t="s">
        <v>39</v>
      </c>
      <c r="J118" t="s">
        <v>40</v>
      </c>
      <c r="K118" t="s">
        <v>21</v>
      </c>
      <c r="L118" t="s">
        <v>39</v>
      </c>
      <c r="M118">
        <v>4</v>
      </c>
      <c r="N118">
        <v>0</v>
      </c>
      <c r="O118" t="s">
        <v>281</v>
      </c>
      <c r="P118" t="s">
        <v>288</v>
      </c>
    </row>
    <row r="119" spans="1:16" x14ac:dyDescent="0.3">
      <c r="A119">
        <v>177</v>
      </c>
      <c r="B119" t="s">
        <v>123</v>
      </c>
      <c r="C119" t="s">
        <v>412</v>
      </c>
      <c r="D119" s="6">
        <v>40250</v>
      </c>
      <c r="E119" t="s">
        <v>139</v>
      </c>
      <c r="F119" t="s">
        <v>188</v>
      </c>
      <c r="G119" t="s">
        <v>45</v>
      </c>
      <c r="H119" t="s">
        <v>38</v>
      </c>
      <c r="I119" t="s">
        <v>38</v>
      </c>
      <c r="J119" t="s">
        <v>20</v>
      </c>
      <c r="K119" t="s">
        <v>21</v>
      </c>
      <c r="L119" t="s">
        <v>38</v>
      </c>
      <c r="M119">
        <v>0</v>
      </c>
      <c r="N119">
        <v>5</v>
      </c>
      <c r="O119" t="s">
        <v>259</v>
      </c>
      <c r="P119" t="s">
        <v>23</v>
      </c>
    </row>
    <row r="120" spans="1:16" x14ac:dyDescent="0.3">
      <c r="A120">
        <v>178</v>
      </c>
      <c r="B120" t="s">
        <v>24</v>
      </c>
      <c r="C120" t="s">
        <v>412</v>
      </c>
      <c r="D120" s="6">
        <v>40251</v>
      </c>
      <c r="E120" t="s">
        <v>301</v>
      </c>
      <c r="F120" t="s">
        <v>26</v>
      </c>
      <c r="G120" t="s">
        <v>50</v>
      </c>
      <c r="H120" t="s">
        <v>27</v>
      </c>
      <c r="I120" t="s">
        <v>27</v>
      </c>
      <c r="J120" t="s">
        <v>20</v>
      </c>
      <c r="K120" t="s">
        <v>21</v>
      </c>
      <c r="L120" t="s">
        <v>27</v>
      </c>
      <c r="M120">
        <v>0</v>
      </c>
      <c r="N120">
        <v>7</v>
      </c>
      <c r="O120" t="s">
        <v>154</v>
      </c>
      <c r="P120" t="s">
        <v>283</v>
      </c>
    </row>
    <row r="121" spans="1:16" x14ac:dyDescent="0.3">
      <c r="A121">
        <v>179</v>
      </c>
      <c r="B121" t="s">
        <v>98</v>
      </c>
      <c r="C121" t="s">
        <v>412</v>
      </c>
      <c r="D121" s="6">
        <v>40251</v>
      </c>
      <c r="E121" t="s">
        <v>328</v>
      </c>
      <c r="F121" t="s">
        <v>100</v>
      </c>
      <c r="G121" t="s">
        <v>260</v>
      </c>
      <c r="H121" t="s">
        <v>19</v>
      </c>
      <c r="I121" t="s">
        <v>260</v>
      </c>
      <c r="J121" t="s">
        <v>40</v>
      </c>
      <c r="K121" t="s">
        <v>21</v>
      </c>
      <c r="L121" t="s">
        <v>260</v>
      </c>
      <c r="M121">
        <v>31</v>
      </c>
      <c r="N121">
        <v>0</v>
      </c>
      <c r="O121" t="s">
        <v>280</v>
      </c>
      <c r="P121" t="s">
        <v>315</v>
      </c>
    </row>
    <row r="122" spans="1:16" x14ac:dyDescent="0.3">
      <c r="A122">
        <v>180</v>
      </c>
      <c r="B122" t="s">
        <v>202</v>
      </c>
      <c r="C122" t="s">
        <v>412</v>
      </c>
      <c r="D122" s="6">
        <v>40252</v>
      </c>
      <c r="E122" t="s">
        <v>214</v>
      </c>
      <c r="F122" t="s">
        <v>204</v>
      </c>
      <c r="G122" t="s">
        <v>31</v>
      </c>
      <c r="H122" t="s">
        <v>38</v>
      </c>
      <c r="I122" t="s">
        <v>38</v>
      </c>
      <c r="J122" t="s">
        <v>20</v>
      </c>
      <c r="K122" t="s">
        <v>21</v>
      </c>
      <c r="L122" t="s">
        <v>38</v>
      </c>
      <c r="M122">
        <v>0</v>
      </c>
      <c r="N122">
        <v>6</v>
      </c>
      <c r="O122" t="s">
        <v>312</v>
      </c>
      <c r="P122" t="s">
        <v>281</v>
      </c>
    </row>
    <row r="123" spans="1:16" x14ac:dyDescent="0.3">
      <c r="A123">
        <v>181</v>
      </c>
      <c r="B123" t="s">
        <v>105</v>
      </c>
      <c r="C123" t="s">
        <v>412</v>
      </c>
      <c r="D123" s="6">
        <v>40253</v>
      </c>
      <c r="E123" t="s">
        <v>230</v>
      </c>
      <c r="F123" t="s">
        <v>60</v>
      </c>
      <c r="G123" t="s">
        <v>45</v>
      </c>
      <c r="H123" t="s">
        <v>50</v>
      </c>
      <c r="I123" t="s">
        <v>45</v>
      </c>
      <c r="J123" t="s">
        <v>40</v>
      </c>
      <c r="K123" t="s">
        <v>21</v>
      </c>
      <c r="L123" t="s">
        <v>50</v>
      </c>
      <c r="M123">
        <v>0</v>
      </c>
      <c r="N123">
        <v>8</v>
      </c>
      <c r="O123" t="s">
        <v>245</v>
      </c>
      <c r="P123" t="s">
        <v>315</v>
      </c>
    </row>
    <row r="124" spans="1:16" x14ac:dyDescent="0.3">
      <c r="A124">
        <v>182</v>
      </c>
      <c r="B124" t="s">
        <v>24</v>
      </c>
      <c r="C124" t="s">
        <v>412</v>
      </c>
      <c r="D124" s="6">
        <v>40253</v>
      </c>
      <c r="E124" t="s">
        <v>87</v>
      </c>
      <c r="F124" t="s">
        <v>26</v>
      </c>
      <c r="G124" t="s">
        <v>19</v>
      </c>
      <c r="H124" t="s">
        <v>27</v>
      </c>
      <c r="I124" t="s">
        <v>19</v>
      </c>
      <c r="J124" t="s">
        <v>40</v>
      </c>
      <c r="K124" t="s">
        <v>21</v>
      </c>
      <c r="L124" t="s">
        <v>19</v>
      </c>
      <c r="M124">
        <v>55</v>
      </c>
      <c r="N124">
        <v>0</v>
      </c>
      <c r="O124" t="s">
        <v>154</v>
      </c>
      <c r="P124" t="s">
        <v>283</v>
      </c>
    </row>
    <row r="125" spans="1:16" x14ac:dyDescent="0.3">
      <c r="A125">
        <v>183</v>
      </c>
      <c r="B125" t="s">
        <v>35</v>
      </c>
      <c r="C125" t="s">
        <v>412</v>
      </c>
      <c r="D125" s="6">
        <v>40254</v>
      </c>
      <c r="E125" t="s">
        <v>247</v>
      </c>
      <c r="F125" t="s">
        <v>37</v>
      </c>
      <c r="G125" t="s">
        <v>39</v>
      </c>
      <c r="H125" t="s">
        <v>38</v>
      </c>
      <c r="I125" t="s">
        <v>38</v>
      </c>
      <c r="J125" t="s">
        <v>20</v>
      </c>
      <c r="K125" t="s">
        <v>21</v>
      </c>
      <c r="L125" t="s">
        <v>39</v>
      </c>
      <c r="M125">
        <v>98</v>
      </c>
      <c r="N125">
        <v>0</v>
      </c>
      <c r="O125" t="s">
        <v>259</v>
      </c>
      <c r="P125" t="s">
        <v>262</v>
      </c>
    </row>
    <row r="126" spans="1:16" x14ac:dyDescent="0.3">
      <c r="A126">
        <v>184</v>
      </c>
      <c r="B126" t="s">
        <v>105</v>
      </c>
      <c r="C126" t="s">
        <v>412</v>
      </c>
      <c r="D126" s="6">
        <v>40255</v>
      </c>
      <c r="E126" t="s">
        <v>230</v>
      </c>
      <c r="F126" t="s">
        <v>60</v>
      </c>
      <c r="G126" t="s">
        <v>31</v>
      </c>
      <c r="H126" t="s">
        <v>50</v>
      </c>
      <c r="I126" t="s">
        <v>50</v>
      </c>
      <c r="J126" t="s">
        <v>20</v>
      </c>
      <c r="K126" t="s">
        <v>21</v>
      </c>
      <c r="L126" t="s">
        <v>50</v>
      </c>
      <c r="M126">
        <v>0</v>
      </c>
      <c r="N126">
        <v>10</v>
      </c>
      <c r="O126" t="s">
        <v>280</v>
      </c>
      <c r="P126" t="s">
        <v>315</v>
      </c>
    </row>
    <row r="127" spans="1:16" x14ac:dyDescent="0.3">
      <c r="A127">
        <v>185</v>
      </c>
      <c r="B127" t="s">
        <v>35</v>
      </c>
      <c r="C127" t="s">
        <v>412</v>
      </c>
      <c r="D127" s="6">
        <v>40256</v>
      </c>
      <c r="E127" t="s">
        <v>327</v>
      </c>
      <c r="F127" t="s">
        <v>37</v>
      </c>
      <c r="G127" t="s">
        <v>38</v>
      </c>
      <c r="H127" t="s">
        <v>19</v>
      </c>
      <c r="I127" t="s">
        <v>38</v>
      </c>
      <c r="J127" t="s">
        <v>40</v>
      </c>
      <c r="K127" t="s">
        <v>21</v>
      </c>
      <c r="L127" t="s">
        <v>19</v>
      </c>
      <c r="M127">
        <v>0</v>
      </c>
      <c r="N127">
        <v>5</v>
      </c>
      <c r="O127" t="s">
        <v>259</v>
      </c>
      <c r="P127" t="s">
        <v>262</v>
      </c>
    </row>
    <row r="128" spans="1:16" x14ac:dyDescent="0.3">
      <c r="A128">
        <v>186</v>
      </c>
      <c r="B128" t="s">
        <v>216</v>
      </c>
      <c r="C128" t="s">
        <v>412</v>
      </c>
      <c r="D128" s="6">
        <v>40256</v>
      </c>
      <c r="E128" t="s">
        <v>313</v>
      </c>
      <c r="F128" t="s">
        <v>217</v>
      </c>
      <c r="G128" t="s">
        <v>260</v>
      </c>
      <c r="H128" t="s">
        <v>45</v>
      </c>
      <c r="I128" t="s">
        <v>45</v>
      </c>
      <c r="J128" t="s">
        <v>20</v>
      </c>
      <c r="K128" t="s">
        <v>21</v>
      </c>
      <c r="L128" t="s">
        <v>260</v>
      </c>
      <c r="M128">
        <v>6</v>
      </c>
      <c r="N128">
        <v>0</v>
      </c>
      <c r="O128" t="s">
        <v>225</v>
      </c>
      <c r="P128" t="s">
        <v>125</v>
      </c>
    </row>
    <row r="129" spans="1:16" x14ac:dyDescent="0.3">
      <c r="A129">
        <v>187</v>
      </c>
      <c r="B129" t="s">
        <v>202</v>
      </c>
      <c r="C129" t="s">
        <v>412</v>
      </c>
      <c r="D129" s="6">
        <v>40257</v>
      </c>
      <c r="E129" t="s">
        <v>326</v>
      </c>
      <c r="F129" t="s">
        <v>204</v>
      </c>
      <c r="G129" t="s">
        <v>31</v>
      </c>
      <c r="H129" t="s">
        <v>27</v>
      </c>
      <c r="I129" t="s">
        <v>31</v>
      </c>
      <c r="J129" t="s">
        <v>40</v>
      </c>
      <c r="K129" t="s">
        <v>21</v>
      </c>
      <c r="L129" t="s">
        <v>31</v>
      </c>
      <c r="M129">
        <v>34</v>
      </c>
      <c r="N129">
        <v>0</v>
      </c>
      <c r="O129" t="s">
        <v>281</v>
      </c>
      <c r="P129" t="s">
        <v>288</v>
      </c>
    </row>
    <row r="130" spans="1:16" x14ac:dyDescent="0.3">
      <c r="A130">
        <v>188</v>
      </c>
      <c r="B130" t="s">
        <v>15</v>
      </c>
      <c r="C130" t="s">
        <v>412</v>
      </c>
      <c r="D130" s="6">
        <v>40257</v>
      </c>
      <c r="E130" t="s">
        <v>230</v>
      </c>
      <c r="F130" t="s">
        <v>189</v>
      </c>
      <c r="G130" t="s">
        <v>39</v>
      </c>
      <c r="H130" t="s">
        <v>50</v>
      </c>
      <c r="I130" t="s">
        <v>39</v>
      </c>
      <c r="J130" t="s">
        <v>40</v>
      </c>
      <c r="K130" t="s">
        <v>21</v>
      </c>
      <c r="L130" t="s">
        <v>50</v>
      </c>
      <c r="M130">
        <v>0</v>
      </c>
      <c r="N130">
        <v>7</v>
      </c>
      <c r="O130" t="s">
        <v>154</v>
      </c>
      <c r="P130" t="s">
        <v>220</v>
      </c>
    </row>
    <row r="131" spans="1:16" x14ac:dyDescent="0.3">
      <c r="A131">
        <v>189</v>
      </c>
      <c r="B131" t="s">
        <v>216</v>
      </c>
      <c r="C131" t="s">
        <v>412</v>
      </c>
      <c r="D131" s="6">
        <v>40258</v>
      </c>
      <c r="E131" t="s">
        <v>313</v>
      </c>
      <c r="F131" t="s">
        <v>217</v>
      </c>
      <c r="G131" t="s">
        <v>260</v>
      </c>
      <c r="H131" t="s">
        <v>38</v>
      </c>
      <c r="I131" t="s">
        <v>260</v>
      </c>
      <c r="J131" t="s">
        <v>40</v>
      </c>
      <c r="K131" t="s">
        <v>21</v>
      </c>
      <c r="L131" t="s">
        <v>260</v>
      </c>
      <c r="M131">
        <v>10</v>
      </c>
      <c r="N131">
        <v>0</v>
      </c>
      <c r="O131" t="s">
        <v>225</v>
      </c>
      <c r="P131" t="s">
        <v>125</v>
      </c>
    </row>
    <row r="132" spans="1:16" x14ac:dyDescent="0.3">
      <c r="A132">
        <v>190</v>
      </c>
      <c r="B132" t="s">
        <v>98</v>
      </c>
      <c r="C132" t="s">
        <v>412</v>
      </c>
      <c r="D132" s="6">
        <v>40258</v>
      </c>
      <c r="E132" t="s">
        <v>325</v>
      </c>
      <c r="F132" t="s">
        <v>100</v>
      </c>
      <c r="G132" t="s">
        <v>45</v>
      </c>
      <c r="H132" t="s">
        <v>19</v>
      </c>
      <c r="I132" t="s">
        <v>19</v>
      </c>
      <c r="J132" t="s">
        <v>20</v>
      </c>
      <c r="K132" t="s">
        <v>138</v>
      </c>
      <c r="L132" t="s">
        <v>45</v>
      </c>
      <c r="M132">
        <v>0</v>
      </c>
      <c r="N132">
        <v>0</v>
      </c>
      <c r="O132" t="s">
        <v>280</v>
      </c>
      <c r="P132" t="s">
        <v>315</v>
      </c>
    </row>
    <row r="133" spans="1:16" x14ac:dyDescent="0.3">
      <c r="A133">
        <v>191</v>
      </c>
      <c r="B133" t="s">
        <v>15</v>
      </c>
      <c r="C133" t="s">
        <v>412</v>
      </c>
      <c r="D133" s="6">
        <v>40259</v>
      </c>
      <c r="E133" t="s">
        <v>247</v>
      </c>
      <c r="F133" t="s">
        <v>189</v>
      </c>
      <c r="G133" t="s">
        <v>27</v>
      </c>
      <c r="H133" t="s">
        <v>39</v>
      </c>
      <c r="I133" t="s">
        <v>27</v>
      </c>
      <c r="J133" t="s">
        <v>40</v>
      </c>
      <c r="K133" t="s">
        <v>21</v>
      </c>
      <c r="L133" t="s">
        <v>39</v>
      </c>
      <c r="M133">
        <v>0</v>
      </c>
      <c r="N133">
        <v>7</v>
      </c>
      <c r="O133" t="s">
        <v>220</v>
      </c>
      <c r="P133" t="s">
        <v>231</v>
      </c>
    </row>
    <row r="134" spans="1:16" x14ac:dyDescent="0.3">
      <c r="A134">
        <v>192</v>
      </c>
      <c r="B134" t="s">
        <v>105</v>
      </c>
      <c r="C134" t="s">
        <v>412</v>
      </c>
      <c r="D134" s="6">
        <v>40260</v>
      </c>
      <c r="E134" t="s">
        <v>141</v>
      </c>
      <c r="F134" t="s">
        <v>60</v>
      </c>
      <c r="G134" t="s">
        <v>50</v>
      </c>
      <c r="H134" t="s">
        <v>19</v>
      </c>
      <c r="I134" t="s">
        <v>19</v>
      </c>
      <c r="J134" t="s">
        <v>20</v>
      </c>
      <c r="K134" t="s">
        <v>21</v>
      </c>
      <c r="L134" t="s">
        <v>50</v>
      </c>
      <c r="M134">
        <v>36</v>
      </c>
      <c r="N134">
        <v>0</v>
      </c>
      <c r="O134" t="s">
        <v>281</v>
      </c>
      <c r="P134" t="s">
        <v>288</v>
      </c>
    </row>
    <row r="135" spans="1:16" x14ac:dyDescent="0.3">
      <c r="A135">
        <v>193</v>
      </c>
      <c r="B135" t="s">
        <v>123</v>
      </c>
      <c r="C135" t="s">
        <v>412</v>
      </c>
      <c r="D135" s="6">
        <v>40261</v>
      </c>
      <c r="E135" t="s">
        <v>324</v>
      </c>
      <c r="F135" t="s">
        <v>188</v>
      </c>
      <c r="G135" t="s">
        <v>31</v>
      </c>
      <c r="H135" t="s">
        <v>45</v>
      </c>
      <c r="I135" t="s">
        <v>45</v>
      </c>
      <c r="J135" t="s">
        <v>20</v>
      </c>
      <c r="K135" t="s">
        <v>21</v>
      </c>
      <c r="L135" t="s">
        <v>31</v>
      </c>
      <c r="M135">
        <v>31</v>
      </c>
      <c r="N135">
        <v>0</v>
      </c>
      <c r="O135" t="s">
        <v>259</v>
      </c>
      <c r="P135" t="s">
        <v>262</v>
      </c>
    </row>
    <row r="136" spans="1:16" x14ac:dyDescent="0.3">
      <c r="A136">
        <v>194</v>
      </c>
      <c r="B136" t="s">
        <v>15</v>
      </c>
      <c r="C136" t="s">
        <v>412</v>
      </c>
      <c r="D136" s="6">
        <v>40262</v>
      </c>
      <c r="E136" t="s">
        <v>247</v>
      </c>
      <c r="F136" t="s">
        <v>189</v>
      </c>
      <c r="G136" t="s">
        <v>19</v>
      </c>
      <c r="H136" t="s">
        <v>39</v>
      </c>
      <c r="I136" t="s">
        <v>39</v>
      </c>
      <c r="J136" t="s">
        <v>20</v>
      </c>
      <c r="K136" t="s">
        <v>21</v>
      </c>
      <c r="L136" t="s">
        <v>39</v>
      </c>
      <c r="M136">
        <v>0</v>
      </c>
      <c r="N136">
        <v>5</v>
      </c>
      <c r="O136" t="s">
        <v>225</v>
      </c>
      <c r="P136" t="s">
        <v>283</v>
      </c>
    </row>
    <row r="137" spans="1:16" x14ac:dyDescent="0.3">
      <c r="A137">
        <v>195</v>
      </c>
      <c r="B137" t="s">
        <v>202</v>
      </c>
      <c r="C137" t="s">
        <v>412</v>
      </c>
      <c r="D137" s="6">
        <v>40263</v>
      </c>
      <c r="E137" t="s">
        <v>157</v>
      </c>
      <c r="F137" t="s">
        <v>204</v>
      </c>
      <c r="G137" t="s">
        <v>260</v>
      </c>
      <c r="H137" t="s">
        <v>31</v>
      </c>
      <c r="I137" t="s">
        <v>260</v>
      </c>
      <c r="J137" t="s">
        <v>40</v>
      </c>
      <c r="K137" t="s">
        <v>21</v>
      </c>
      <c r="L137" t="s">
        <v>31</v>
      </c>
      <c r="M137">
        <v>0</v>
      </c>
      <c r="N137">
        <v>8</v>
      </c>
      <c r="O137" t="s">
        <v>154</v>
      </c>
      <c r="P137" t="s">
        <v>231</v>
      </c>
    </row>
    <row r="138" spans="1:16" x14ac:dyDescent="0.3">
      <c r="A138">
        <v>196</v>
      </c>
      <c r="B138" t="s">
        <v>123</v>
      </c>
      <c r="C138" t="s">
        <v>412</v>
      </c>
      <c r="D138" s="6">
        <v>40264</v>
      </c>
      <c r="E138" t="s">
        <v>301</v>
      </c>
      <c r="F138" t="s">
        <v>188</v>
      </c>
      <c r="G138" t="s">
        <v>27</v>
      </c>
      <c r="H138" t="s">
        <v>45</v>
      </c>
      <c r="I138" t="s">
        <v>27</v>
      </c>
      <c r="J138" t="s">
        <v>40</v>
      </c>
      <c r="K138" t="s">
        <v>21</v>
      </c>
      <c r="L138" t="s">
        <v>27</v>
      </c>
      <c r="M138">
        <v>39</v>
      </c>
      <c r="N138">
        <v>0</v>
      </c>
      <c r="O138" t="s">
        <v>259</v>
      </c>
      <c r="P138" t="s">
        <v>23</v>
      </c>
    </row>
    <row r="139" spans="1:16" x14ac:dyDescent="0.3">
      <c r="A139">
        <v>197</v>
      </c>
      <c r="B139" t="s">
        <v>105</v>
      </c>
      <c r="C139" t="s">
        <v>412</v>
      </c>
      <c r="D139" s="6">
        <v>40262</v>
      </c>
      <c r="E139" t="s">
        <v>150</v>
      </c>
      <c r="F139" t="s">
        <v>60</v>
      </c>
      <c r="G139" t="s">
        <v>38</v>
      </c>
      <c r="H139" t="s">
        <v>50</v>
      </c>
      <c r="I139" t="s">
        <v>50</v>
      </c>
      <c r="J139" t="s">
        <v>20</v>
      </c>
      <c r="K139" t="s">
        <v>21</v>
      </c>
      <c r="L139" t="s">
        <v>38</v>
      </c>
      <c r="M139">
        <v>17</v>
      </c>
      <c r="N139">
        <v>0</v>
      </c>
      <c r="O139" t="s">
        <v>312</v>
      </c>
      <c r="P139" t="s">
        <v>281</v>
      </c>
    </row>
    <row r="140" spans="1:16" x14ac:dyDescent="0.3">
      <c r="A140">
        <v>198</v>
      </c>
      <c r="B140" t="s">
        <v>202</v>
      </c>
      <c r="C140" t="s">
        <v>412</v>
      </c>
      <c r="D140" s="6">
        <v>40265</v>
      </c>
      <c r="E140" t="s">
        <v>323</v>
      </c>
      <c r="F140" t="s">
        <v>204</v>
      </c>
      <c r="G140" t="s">
        <v>31</v>
      </c>
      <c r="H140" t="s">
        <v>19</v>
      </c>
      <c r="I140" t="s">
        <v>31</v>
      </c>
      <c r="J140" t="s">
        <v>40</v>
      </c>
      <c r="K140" t="s">
        <v>21</v>
      </c>
      <c r="L140" t="s">
        <v>31</v>
      </c>
      <c r="M140">
        <v>17</v>
      </c>
      <c r="N140">
        <v>0</v>
      </c>
      <c r="O140" t="s">
        <v>220</v>
      </c>
      <c r="P140" t="s">
        <v>231</v>
      </c>
    </row>
    <row r="141" spans="1:16" x14ac:dyDescent="0.3">
      <c r="A141">
        <v>199</v>
      </c>
      <c r="B141" t="s">
        <v>15</v>
      </c>
      <c r="C141" t="s">
        <v>412</v>
      </c>
      <c r="D141" s="6">
        <v>40265</v>
      </c>
      <c r="E141" t="s">
        <v>195</v>
      </c>
      <c r="F141" t="s">
        <v>285</v>
      </c>
      <c r="G141" t="s">
        <v>39</v>
      </c>
      <c r="H141" t="s">
        <v>260</v>
      </c>
      <c r="I141" t="s">
        <v>260</v>
      </c>
      <c r="J141" t="s">
        <v>20</v>
      </c>
      <c r="K141" t="s">
        <v>21</v>
      </c>
      <c r="L141" t="s">
        <v>39</v>
      </c>
      <c r="M141">
        <v>41</v>
      </c>
      <c r="N141">
        <v>0</v>
      </c>
      <c r="O141" t="s">
        <v>245</v>
      </c>
      <c r="P141" t="s">
        <v>280</v>
      </c>
    </row>
    <row r="142" spans="1:16" x14ac:dyDescent="0.3">
      <c r="A142">
        <v>200</v>
      </c>
      <c r="B142" t="s">
        <v>35</v>
      </c>
      <c r="C142" t="s">
        <v>412</v>
      </c>
      <c r="D142" s="6">
        <v>40266</v>
      </c>
      <c r="E142" t="s">
        <v>134</v>
      </c>
      <c r="F142" t="s">
        <v>37</v>
      </c>
      <c r="G142" t="s">
        <v>38</v>
      </c>
      <c r="H142" t="s">
        <v>27</v>
      </c>
      <c r="I142" t="s">
        <v>38</v>
      </c>
      <c r="J142" t="s">
        <v>40</v>
      </c>
      <c r="K142" t="s">
        <v>21</v>
      </c>
      <c r="L142" t="s">
        <v>38</v>
      </c>
      <c r="M142">
        <v>40</v>
      </c>
      <c r="N142">
        <v>0</v>
      </c>
      <c r="O142" t="s">
        <v>220</v>
      </c>
      <c r="P142" t="s">
        <v>231</v>
      </c>
    </row>
    <row r="143" spans="1:16" x14ac:dyDescent="0.3">
      <c r="A143">
        <v>201</v>
      </c>
      <c r="B143" t="s">
        <v>15</v>
      </c>
      <c r="C143" t="s">
        <v>412</v>
      </c>
      <c r="D143" s="6">
        <v>40267</v>
      </c>
      <c r="E143" t="s">
        <v>200</v>
      </c>
      <c r="F143" t="s">
        <v>189</v>
      </c>
      <c r="G143" t="s">
        <v>45</v>
      </c>
      <c r="H143" t="s">
        <v>39</v>
      </c>
      <c r="I143" t="s">
        <v>39</v>
      </c>
      <c r="J143" t="s">
        <v>20</v>
      </c>
      <c r="K143" t="s">
        <v>21</v>
      </c>
      <c r="L143" t="s">
        <v>39</v>
      </c>
      <c r="M143">
        <v>0</v>
      </c>
      <c r="N143">
        <v>4</v>
      </c>
      <c r="O143" t="s">
        <v>259</v>
      </c>
      <c r="P143" t="s">
        <v>262</v>
      </c>
    </row>
    <row r="144" spans="1:16" x14ac:dyDescent="0.3">
      <c r="A144">
        <v>202</v>
      </c>
      <c r="B144" t="s">
        <v>98</v>
      </c>
      <c r="C144" t="s">
        <v>412</v>
      </c>
      <c r="D144" s="6">
        <v>40268</v>
      </c>
      <c r="E144" t="s">
        <v>227</v>
      </c>
      <c r="F144" t="s">
        <v>100</v>
      </c>
      <c r="G144" t="s">
        <v>50</v>
      </c>
      <c r="H144" t="s">
        <v>19</v>
      </c>
      <c r="I144" t="s">
        <v>50</v>
      </c>
      <c r="J144" t="s">
        <v>40</v>
      </c>
      <c r="K144" t="s">
        <v>21</v>
      </c>
      <c r="L144" t="s">
        <v>19</v>
      </c>
      <c r="M144">
        <v>0</v>
      </c>
      <c r="N144">
        <v>5</v>
      </c>
      <c r="O144" t="s">
        <v>312</v>
      </c>
      <c r="P144" t="s">
        <v>281</v>
      </c>
    </row>
    <row r="145" spans="1:16" x14ac:dyDescent="0.3">
      <c r="A145">
        <v>203</v>
      </c>
      <c r="B145" t="s">
        <v>35</v>
      </c>
      <c r="C145" t="s">
        <v>412</v>
      </c>
      <c r="D145" s="6">
        <v>40268</v>
      </c>
      <c r="E145" t="s">
        <v>255</v>
      </c>
      <c r="F145" t="s">
        <v>37</v>
      </c>
      <c r="G145" t="s">
        <v>38</v>
      </c>
      <c r="H145" t="s">
        <v>31</v>
      </c>
      <c r="I145" t="s">
        <v>38</v>
      </c>
      <c r="J145" t="s">
        <v>40</v>
      </c>
      <c r="K145" t="s">
        <v>21</v>
      </c>
      <c r="L145" t="s">
        <v>38</v>
      </c>
      <c r="M145">
        <v>67</v>
      </c>
      <c r="N145">
        <v>0</v>
      </c>
      <c r="O145" t="s">
        <v>154</v>
      </c>
      <c r="P145" t="s">
        <v>231</v>
      </c>
    </row>
    <row r="146" spans="1:16" x14ac:dyDescent="0.3">
      <c r="A146">
        <v>204</v>
      </c>
      <c r="B146" t="s">
        <v>24</v>
      </c>
      <c r="C146" t="s">
        <v>412</v>
      </c>
      <c r="D146" s="6">
        <v>40269</v>
      </c>
      <c r="E146" t="s">
        <v>269</v>
      </c>
      <c r="F146" t="s">
        <v>26</v>
      </c>
      <c r="G146" t="s">
        <v>27</v>
      </c>
      <c r="H146" t="s">
        <v>260</v>
      </c>
      <c r="I146" t="s">
        <v>27</v>
      </c>
      <c r="J146" t="s">
        <v>40</v>
      </c>
      <c r="K146" t="s">
        <v>21</v>
      </c>
      <c r="L146" t="s">
        <v>27</v>
      </c>
      <c r="M146">
        <v>24</v>
      </c>
      <c r="N146">
        <v>0</v>
      </c>
      <c r="O146" t="s">
        <v>280</v>
      </c>
      <c r="P146" t="s">
        <v>315</v>
      </c>
    </row>
    <row r="147" spans="1:16" x14ac:dyDescent="0.3">
      <c r="A147">
        <v>205</v>
      </c>
      <c r="B147" t="s">
        <v>123</v>
      </c>
      <c r="C147" t="s">
        <v>412</v>
      </c>
      <c r="D147" s="6">
        <v>40270</v>
      </c>
      <c r="E147" t="s">
        <v>270</v>
      </c>
      <c r="F147" t="s">
        <v>188</v>
      </c>
      <c r="G147" t="s">
        <v>45</v>
      </c>
      <c r="H147" t="s">
        <v>50</v>
      </c>
      <c r="I147" t="s">
        <v>45</v>
      </c>
      <c r="J147" t="s">
        <v>40</v>
      </c>
      <c r="K147" t="s">
        <v>21</v>
      </c>
      <c r="L147" t="s">
        <v>50</v>
      </c>
      <c r="M147">
        <v>0</v>
      </c>
      <c r="N147">
        <v>6</v>
      </c>
      <c r="O147" t="s">
        <v>225</v>
      </c>
      <c r="P147" t="s">
        <v>125</v>
      </c>
    </row>
    <row r="148" spans="1:16" x14ac:dyDescent="0.3">
      <c r="A148">
        <v>206</v>
      </c>
      <c r="B148" t="s">
        <v>98</v>
      </c>
      <c r="C148" t="s">
        <v>412</v>
      </c>
      <c r="D148" s="6">
        <v>40271</v>
      </c>
      <c r="E148" t="s">
        <v>227</v>
      </c>
      <c r="F148" t="s">
        <v>100</v>
      </c>
      <c r="G148" t="s">
        <v>19</v>
      </c>
      <c r="H148" t="s">
        <v>31</v>
      </c>
      <c r="I148" t="s">
        <v>19</v>
      </c>
      <c r="J148" t="s">
        <v>40</v>
      </c>
      <c r="K148" t="s">
        <v>21</v>
      </c>
      <c r="L148" t="s">
        <v>19</v>
      </c>
      <c r="M148">
        <v>23</v>
      </c>
      <c r="N148">
        <v>0</v>
      </c>
      <c r="O148" t="s">
        <v>281</v>
      </c>
      <c r="P148" t="s">
        <v>288</v>
      </c>
    </row>
    <row r="149" spans="1:16" x14ac:dyDescent="0.3">
      <c r="A149">
        <v>207</v>
      </c>
      <c r="B149" t="s">
        <v>15</v>
      </c>
      <c r="C149" t="s">
        <v>412</v>
      </c>
      <c r="D149" s="6">
        <v>40271</v>
      </c>
      <c r="E149" t="s">
        <v>67</v>
      </c>
      <c r="F149" t="s">
        <v>189</v>
      </c>
      <c r="G149" t="s">
        <v>39</v>
      </c>
      <c r="H149" t="s">
        <v>260</v>
      </c>
      <c r="I149" t="s">
        <v>39</v>
      </c>
      <c r="J149" t="s">
        <v>40</v>
      </c>
      <c r="K149" t="s">
        <v>21</v>
      </c>
      <c r="L149" t="s">
        <v>39</v>
      </c>
      <c r="M149">
        <v>63</v>
      </c>
      <c r="N149">
        <v>0</v>
      </c>
      <c r="O149" t="s">
        <v>259</v>
      </c>
      <c r="P149" t="s">
        <v>23</v>
      </c>
    </row>
    <row r="150" spans="1:16" x14ac:dyDescent="0.3">
      <c r="A150">
        <v>208</v>
      </c>
      <c r="B150" t="s">
        <v>24</v>
      </c>
      <c r="C150" t="s">
        <v>412</v>
      </c>
      <c r="D150" s="6">
        <v>40272</v>
      </c>
      <c r="E150" t="s">
        <v>304</v>
      </c>
      <c r="F150" t="s">
        <v>26</v>
      </c>
      <c r="G150" t="s">
        <v>27</v>
      </c>
      <c r="H150" t="s">
        <v>45</v>
      </c>
      <c r="I150" t="s">
        <v>27</v>
      </c>
      <c r="J150" t="s">
        <v>40</v>
      </c>
      <c r="K150" t="s">
        <v>21</v>
      </c>
      <c r="L150" t="s">
        <v>45</v>
      </c>
      <c r="M150">
        <v>0</v>
      </c>
      <c r="N150">
        <v>8</v>
      </c>
      <c r="O150" t="s">
        <v>237</v>
      </c>
      <c r="P150" t="s">
        <v>315</v>
      </c>
    </row>
    <row r="151" spans="1:16" x14ac:dyDescent="0.3">
      <c r="A151">
        <v>209</v>
      </c>
      <c r="B151" t="s">
        <v>35</v>
      </c>
      <c r="C151" t="s">
        <v>412</v>
      </c>
      <c r="D151" s="6">
        <v>40272</v>
      </c>
      <c r="E151" t="s">
        <v>322</v>
      </c>
      <c r="F151" t="s">
        <v>37</v>
      </c>
      <c r="G151" t="s">
        <v>38</v>
      </c>
      <c r="H151" t="s">
        <v>50</v>
      </c>
      <c r="I151" t="s">
        <v>38</v>
      </c>
      <c r="J151" t="s">
        <v>40</v>
      </c>
      <c r="K151" t="s">
        <v>21</v>
      </c>
      <c r="L151" t="s">
        <v>38</v>
      </c>
      <c r="M151">
        <v>37</v>
      </c>
      <c r="N151">
        <v>0</v>
      </c>
      <c r="O151" t="s">
        <v>225</v>
      </c>
      <c r="P151" t="s">
        <v>125</v>
      </c>
    </row>
    <row r="152" spans="1:16" x14ac:dyDescent="0.3">
      <c r="A152">
        <v>210</v>
      </c>
      <c r="B152" t="s">
        <v>317</v>
      </c>
      <c r="C152" t="s">
        <v>412</v>
      </c>
      <c r="D152" s="6">
        <v>40273</v>
      </c>
      <c r="E152" t="s">
        <v>303</v>
      </c>
      <c r="F152" t="s">
        <v>318</v>
      </c>
      <c r="G152" t="s">
        <v>31</v>
      </c>
      <c r="H152" t="s">
        <v>260</v>
      </c>
      <c r="I152" t="s">
        <v>31</v>
      </c>
      <c r="J152" t="s">
        <v>40</v>
      </c>
      <c r="K152" t="s">
        <v>21</v>
      </c>
      <c r="L152" t="s">
        <v>31</v>
      </c>
      <c r="M152">
        <v>2</v>
      </c>
      <c r="N152">
        <v>0</v>
      </c>
      <c r="O152" t="s">
        <v>154</v>
      </c>
      <c r="P152" t="s">
        <v>231</v>
      </c>
    </row>
    <row r="153" spans="1:16" x14ac:dyDescent="0.3">
      <c r="A153">
        <v>211</v>
      </c>
      <c r="B153" t="s">
        <v>98</v>
      </c>
      <c r="C153" t="s">
        <v>412</v>
      </c>
      <c r="D153" s="6">
        <v>40274</v>
      </c>
      <c r="E153" t="s">
        <v>144</v>
      </c>
      <c r="F153" t="s">
        <v>100</v>
      </c>
      <c r="G153" t="s">
        <v>19</v>
      </c>
      <c r="H153" t="s">
        <v>39</v>
      </c>
      <c r="I153" t="s">
        <v>19</v>
      </c>
      <c r="J153" t="s">
        <v>40</v>
      </c>
      <c r="K153" t="s">
        <v>21</v>
      </c>
      <c r="L153" t="s">
        <v>19</v>
      </c>
      <c r="M153">
        <v>24</v>
      </c>
      <c r="N153">
        <v>0</v>
      </c>
      <c r="O153" t="s">
        <v>237</v>
      </c>
      <c r="P153" t="s">
        <v>315</v>
      </c>
    </row>
    <row r="154" spans="1:16" x14ac:dyDescent="0.3">
      <c r="A154">
        <v>212</v>
      </c>
      <c r="B154" t="s">
        <v>47</v>
      </c>
      <c r="C154" t="s">
        <v>412</v>
      </c>
      <c r="D154" s="6">
        <v>40275</v>
      </c>
      <c r="E154" t="s">
        <v>321</v>
      </c>
      <c r="F154" t="s">
        <v>49</v>
      </c>
      <c r="G154" t="s">
        <v>45</v>
      </c>
      <c r="H154" t="s">
        <v>31</v>
      </c>
      <c r="I154" t="s">
        <v>45</v>
      </c>
      <c r="J154" t="s">
        <v>40</v>
      </c>
      <c r="K154" t="s">
        <v>21</v>
      </c>
      <c r="L154" t="s">
        <v>31</v>
      </c>
      <c r="M154">
        <v>0</v>
      </c>
      <c r="N154">
        <v>9</v>
      </c>
      <c r="O154" t="s">
        <v>23</v>
      </c>
      <c r="P154" t="s">
        <v>262</v>
      </c>
    </row>
    <row r="155" spans="1:16" x14ac:dyDescent="0.3">
      <c r="A155">
        <v>213</v>
      </c>
      <c r="B155" t="s">
        <v>24</v>
      </c>
      <c r="C155" t="s">
        <v>412</v>
      </c>
      <c r="D155" s="6">
        <v>40275</v>
      </c>
      <c r="E155" t="s">
        <v>269</v>
      </c>
      <c r="F155" t="s">
        <v>26</v>
      </c>
      <c r="G155" t="s">
        <v>27</v>
      </c>
      <c r="H155" t="s">
        <v>38</v>
      </c>
      <c r="I155" t="s">
        <v>27</v>
      </c>
      <c r="J155" t="s">
        <v>40</v>
      </c>
      <c r="K155" t="s">
        <v>21</v>
      </c>
      <c r="L155" t="s">
        <v>27</v>
      </c>
      <c r="M155">
        <v>14</v>
      </c>
      <c r="N155">
        <v>0</v>
      </c>
      <c r="O155" t="s">
        <v>312</v>
      </c>
      <c r="P155" t="s">
        <v>281</v>
      </c>
    </row>
    <row r="156" spans="1:16" x14ac:dyDescent="0.3">
      <c r="A156">
        <v>214</v>
      </c>
      <c r="B156" t="s">
        <v>105</v>
      </c>
      <c r="C156" t="s">
        <v>412</v>
      </c>
      <c r="D156" s="6">
        <v>40276</v>
      </c>
      <c r="E156" t="s">
        <v>320</v>
      </c>
      <c r="F156" t="s">
        <v>60</v>
      </c>
      <c r="G156" t="s">
        <v>50</v>
      </c>
      <c r="H156" t="s">
        <v>260</v>
      </c>
      <c r="I156" t="s">
        <v>260</v>
      </c>
      <c r="J156" t="s">
        <v>20</v>
      </c>
      <c r="K156" t="s">
        <v>21</v>
      </c>
      <c r="L156" t="s">
        <v>260</v>
      </c>
      <c r="M156">
        <v>0</v>
      </c>
      <c r="N156">
        <v>7</v>
      </c>
      <c r="O156" t="s">
        <v>237</v>
      </c>
      <c r="P156" t="s">
        <v>315</v>
      </c>
    </row>
    <row r="157" spans="1:16" x14ac:dyDescent="0.3">
      <c r="A157">
        <v>215</v>
      </c>
      <c r="B157" t="s">
        <v>123</v>
      </c>
      <c r="C157" t="s">
        <v>412</v>
      </c>
      <c r="D157" s="6">
        <v>40277</v>
      </c>
      <c r="E157" t="s">
        <v>266</v>
      </c>
      <c r="F157" t="s">
        <v>188</v>
      </c>
      <c r="G157" t="s">
        <v>39</v>
      </c>
      <c r="H157" t="s">
        <v>45</v>
      </c>
      <c r="I157" t="s">
        <v>39</v>
      </c>
      <c r="J157" t="s">
        <v>40</v>
      </c>
      <c r="K157" t="s">
        <v>21</v>
      </c>
      <c r="L157" t="s">
        <v>45</v>
      </c>
      <c r="M157">
        <v>0</v>
      </c>
      <c r="N157">
        <v>6</v>
      </c>
      <c r="O157" t="s">
        <v>125</v>
      </c>
      <c r="P157" t="s">
        <v>283</v>
      </c>
    </row>
    <row r="158" spans="1:16" x14ac:dyDescent="0.3">
      <c r="A158">
        <v>216</v>
      </c>
      <c r="B158" t="s">
        <v>317</v>
      </c>
      <c r="C158" t="s">
        <v>412</v>
      </c>
      <c r="D158" s="6">
        <v>40278</v>
      </c>
      <c r="E158" t="s">
        <v>319</v>
      </c>
      <c r="F158" t="s">
        <v>318</v>
      </c>
      <c r="G158" t="s">
        <v>19</v>
      </c>
      <c r="H158" t="s">
        <v>260</v>
      </c>
      <c r="I158" t="s">
        <v>19</v>
      </c>
      <c r="J158" t="s">
        <v>40</v>
      </c>
      <c r="K158" t="s">
        <v>21</v>
      </c>
      <c r="L158" t="s">
        <v>260</v>
      </c>
      <c r="M158">
        <v>0</v>
      </c>
      <c r="N158">
        <v>6</v>
      </c>
      <c r="O158" t="s">
        <v>154</v>
      </c>
      <c r="P158" t="s">
        <v>231</v>
      </c>
    </row>
    <row r="159" spans="1:16" x14ac:dyDescent="0.3">
      <c r="A159">
        <v>217</v>
      </c>
      <c r="B159" t="s">
        <v>105</v>
      </c>
      <c r="C159" t="s">
        <v>412</v>
      </c>
      <c r="D159" s="6">
        <v>40278</v>
      </c>
      <c r="E159" t="s">
        <v>251</v>
      </c>
      <c r="F159" t="s">
        <v>60</v>
      </c>
      <c r="G159" t="s">
        <v>27</v>
      </c>
      <c r="H159" t="s">
        <v>50</v>
      </c>
      <c r="I159" t="s">
        <v>50</v>
      </c>
      <c r="J159" t="s">
        <v>20</v>
      </c>
      <c r="K159" t="s">
        <v>21</v>
      </c>
      <c r="L159" t="s">
        <v>50</v>
      </c>
      <c r="M159">
        <v>0</v>
      </c>
      <c r="N159">
        <v>7</v>
      </c>
      <c r="O159" t="s">
        <v>280</v>
      </c>
      <c r="P159" t="s">
        <v>315</v>
      </c>
    </row>
    <row r="160" spans="1:16" x14ac:dyDescent="0.3">
      <c r="A160">
        <v>218</v>
      </c>
      <c r="B160" t="s">
        <v>35</v>
      </c>
      <c r="C160" t="s">
        <v>412</v>
      </c>
      <c r="D160" s="6">
        <v>40279</v>
      </c>
      <c r="E160" t="s">
        <v>193</v>
      </c>
      <c r="F160" t="s">
        <v>37</v>
      </c>
      <c r="G160" t="s">
        <v>38</v>
      </c>
      <c r="H160" t="s">
        <v>45</v>
      </c>
      <c r="I160" t="s">
        <v>38</v>
      </c>
      <c r="J160" t="s">
        <v>40</v>
      </c>
      <c r="K160" t="s">
        <v>21</v>
      </c>
      <c r="L160" t="s">
        <v>45</v>
      </c>
      <c r="M160">
        <v>0</v>
      </c>
      <c r="N160">
        <v>7</v>
      </c>
      <c r="O160" t="s">
        <v>225</v>
      </c>
      <c r="P160" t="s">
        <v>283</v>
      </c>
    </row>
    <row r="161" spans="1:16" x14ac:dyDescent="0.3">
      <c r="A161">
        <v>219</v>
      </c>
      <c r="B161" t="s">
        <v>47</v>
      </c>
      <c r="C161" t="s">
        <v>412</v>
      </c>
      <c r="D161" s="6">
        <v>40279</v>
      </c>
      <c r="E161" t="s">
        <v>247</v>
      </c>
      <c r="F161" t="s">
        <v>49</v>
      </c>
      <c r="G161" t="s">
        <v>39</v>
      </c>
      <c r="H161" t="s">
        <v>31</v>
      </c>
      <c r="I161" t="s">
        <v>31</v>
      </c>
      <c r="J161" t="s">
        <v>20</v>
      </c>
      <c r="K161" t="s">
        <v>21</v>
      </c>
      <c r="L161" t="s">
        <v>39</v>
      </c>
      <c r="M161">
        <v>37</v>
      </c>
      <c r="N161">
        <v>0</v>
      </c>
      <c r="O161" t="s">
        <v>259</v>
      </c>
      <c r="P161" t="s">
        <v>262</v>
      </c>
    </row>
    <row r="162" spans="1:16" x14ac:dyDescent="0.3">
      <c r="A162">
        <v>220</v>
      </c>
      <c r="B162" t="s">
        <v>317</v>
      </c>
      <c r="C162" t="s">
        <v>412</v>
      </c>
      <c r="D162" s="6">
        <v>40280</v>
      </c>
      <c r="E162" t="s">
        <v>250</v>
      </c>
      <c r="F162" t="s">
        <v>318</v>
      </c>
      <c r="G162" t="s">
        <v>260</v>
      </c>
      <c r="H162" t="s">
        <v>50</v>
      </c>
      <c r="I162" t="s">
        <v>50</v>
      </c>
      <c r="J162" t="s">
        <v>20</v>
      </c>
      <c r="K162" t="s">
        <v>21</v>
      </c>
      <c r="L162" t="s">
        <v>260</v>
      </c>
      <c r="M162">
        <v>13</v>
      </c>
      <c r="N162">
        <v>0</v>
      </c>
      <c r="O162" t="s">
        <v>281</v>
      </c>
      <c r="P162" t="s">
        <v>288</v>
      </c>
    </row>
    <row r="163" spans="1:16" x14ac:dyDescent="0.3">
      <c r="A163">
        <v>221</v>
      </c>
      <c r="B163" t="s">
        <v>15</v>
      </c>
      <c r="C163" t="s">
        <v>412</v>
      </c>
      <c r="D163" s="6">
        <v>40281</v>
      </c>
      <c r="E163" t="s">
        <v>147</v>
      </c>
      <c r="F163" t="s">
        <v>189</v>
      </c>
      <c r="G163" t="s">
        <v>39</v>
      </c>
      <c r="H163" t="s">
        <v>38</v>
      </c>
      <c r="I163" t="s">
        <v>39</v>
      </c>
      <c r="J163" t="s">
        <v>40</v>
      </c>
      <c r="K163" t="s">
        <v>21</v>
      </c>
      <c r="L163" t="s">
        <v>39</v>
      </c>
      <c r="M163">
        <v>39</v>
      </c>
      <c r="N163">
        <v>0</v>
      </c>
      <c r="O163" t="s">
        <v>237</v>
      </c>
      <c r="P163" t="s">
        <v>315</v>
      </c>
    </row>
    <row r="164" spans="1:16" x14ac:dyDescent="0.3">
      <c r="A164">
        <v>222</v>
      </c>
      <c r="B164" t="s">
        <v>98</v>
      </c>
      <c r="C164" t="s">
        <v>412</v>
      </c>
      <c r="D164" s="6">
        <v>40281</v>
      </c>
      <c r="E164" t="s">
        <v>316</v>
      </c>
      <c r="F164" t="s">
        <v>100</v>
      </c>
      <c r="G164" t="s">
        <v>27</v>
      </c>
      <c r="H164" t="s">
        <v>19</v>
      </c>
      <c r="I164" t="s">
        <v>27</v>
      </c>
      <c r="J164" t="s">
        <v>40</v>
      </c>
      <c r="K164" t="s">
        <v>21</v>
      </c>
      <c r="L164" t="s">
        <v>19</v>
      </c>
      <c r="M164">
        <v>0</v>
      </c>
      <c r="N164">
        <v>9</v>
      </c>
      <c r="O164" t="s">
        <v>220</v>
      </c>
      <c r="P164" t="s">
        <v>231</v>
      </c>
    </row>
    <row r="165" spans="1:16" x14ac:dyDescent="0.3">
      <c r="A165">
        <v>223</v>
      </c>
      <c r="B165" t="s">
        <v>47</v>
      </c>
      <c r="C165" t="s">
        <v>412</v>
      </c>
      <c r="D165" s="6">
        <v>40282</v>
      </c>
      <c r="E165" t="s">
        <v>270</v>
      </c>
      <c r="F165" t="s">
        <v>49</v>
      </c>
      <c r="G165" t="s">
        <v>31</v>
      </c>
      <c r="H165" t="s">
        <v>50</v>
      </c>
      <c r="I165" t="s">
        <v>31</v>
      </c>
      <c r="J165" t="s">
        <v>40</v>
      </c>
      <c r="K165" t="s">
        <v>21</v>
      </c>
      <c r="L165" t="s">
        <v>50</v>
      </c>
      <c r="M165">
        <v>0</v>
      </c>
      <c r="N165">
        <v>5</v>
      </c>
      <c r="O165" t="s">
        <v>259</v>
      </c>
      <c r="P165" t="s">
        <v>23</v>
      </c>
    </row>
    <row r="166" spans="1:16" x14ac:dyDescent="0.3">
      <c r="A166">
        <v>224</v>
      </c>
      <c r="B166" t="s">
        <v>98</v>
      </c>
      <c r="C166" t="s">
        <v>412</v>
      </c>
      <c r="D166" s="6">
        <v>40283</v>
      </c>
      <c r="E166" t="s">
        <v>139</v>
      </c>
      <c r="F166" t="s">
        <v>100</v>
      </c>
      <c r="G166" t="s">
        <v>19</v>
      </c>
      <c r="H166" t="s">
        <v>38</v>
      </c>
      <c r="I166" t="s">
        <v>19</v>
      </c>
      <c r="J166" t="s">
        <v>40</v>
      </c>
      <c r="K166" t="s">
        <v>21</v>
      </c>
      <c r="L166" t="s">
        <v>38</v>
      </c>
      <c r="M166">
        <v>0</v>
      </c>
      <c r="N166">
        <v>6</v>
      </c>
      <c r="O166" t="s">
        <v>154</v>
      </c>
      <c r="P166" t="s">
        <v>220</v>
      </c>
    </row>
    <row r="167" spans="1:16" x14ac:dyDescent="0.3">
      <c r="A167">
        <v>225</v>
      </c>
      <c r="B167" t="s">
        <v>238</v>
      </c>
      <c r="C167" t="s">
        <v>412</v>
      </c>
      <c r="D167" s="6">
        <v>40284</v>
      </c>
      <c r="E167" t="s">
        <v>83</v>
      </c>
      <c r="F167" t="s">
        <v>240</v>
      </c>
      <c r="G167" t="s">
        <v>45</v>
      </c>
      <c r="H167" t="s">
        <v>260</v>
      </c>
      <c r="I167" t="s">
        <v>260</v>
      </c>
      <c r="J167" t="s">
        <v>20</v>
      </c>
      <c r="K167" t="s">
        <v>21</v>
      </c>
      <c r="L167" t="s">
        <v>260</v>
      </c>
      <c r="M167">
        <v>0</v>
      </c>
      <c r="N167">
        <v>5</v>
      </c>
      <c r="O167" t="s">
        <v>125</v>
      </c>
      <c r="P167" t="s">
        <v>283</v>
      </c>
    </row>
    <row r="168" spans="1:16" x14ac:dyDescent="0.3">
      <c r="A168">
        <v>226</v>
      </c>
      <c r="B168" t="s">
        <v>105</v>
      </c>
      <c r="C168" t="s">
        <v>412</v>
      </c>
      <c r="D168" s="6">
        <v>40285</v>
      </c>
      <c r="E168" t="s">
        <v>314</v>
      </c>
      <c r="F168" t="s">
        <v>60</v>
      </c>
      <c r="G168" t="s">
        <v>39</v>
      </c>
      <c r="H168" t="s">
        <v>50</v>
      </c>
      <c r="I168" t="s">
        <v>50</v>
      </c>
      <c r="J168" t="s">
        <v>20</v>
      </c>
      <c r="K168" t="s">
        <v>21</v>
      </c>
      <c r="L168" t="s">
        <v>39</v>
      </c>
      <c r="M168">
        <v>57</v>
      </c>
      <c r="N168">
        <v>0</v>
      </c>
      <c r="O168" t="s">
        <v>154</v>
      </c>
      <c r="P168" t="s">
        <v>231</v>
      </c>
    </row>
    <row r="169" spans="1:16" x14ac:dyDescent="0.3">
      <c r="A169">
        <v>227</v>
      </c>
      <c r="B169" t="s">
        <v>24</v>
      </c>
      <c r="C169" t="s">
        <v>412</v>
      </c>
      <c r="D169" s="6">
        <v>40285</v>
      </c>
      <c r="E169" t="s">
        <v>110</v>
      </c>
      <c r="F169" t="s">
        <v>26</v>
      </c>
      <c r="G169" t="s">
        <v>31</v>
      </c>
      <c r="H169" t="s">
        <v>27</v>
      </c>
      <c r="I169" t="s">
        <v>31</v>
      </c>
      <c r="J169" t="s">
        <v>40</v>
      </c>
      <c r="K169" t="s">
        <v>21</v>
      </c>
      <c r="L169" t="s">
        <v>27</v>
      </c>
      <c r="M169">
        <v>0</v>
      </c>
      <c r="N169">
        <v>8</v>
      </c>
      <c r="O169" t="s">
        <v>312</v>
      </c>
      <c r="P169" t="s">
        <v>288</v>
      </c>
    </row>
    <row r="170" spans="1:16" x14ac:dyDescent="0.3">
      <c r="A170">
        <v>228</v>
      </c>
      <c r="B170" t="s">
        <v>238</v>
      </c>
      <c r="C170" t="s">
        <v>412</v>
      </c>
      <c r="D170" s="6">
        <v>40286</v>
      </c>
      <c r="E170" t="s">
        <v>87</v>
      </c>
      <c r="F170" t="s">
        <v>240</v>
      </c>
      <c r="G170" t="s">
        <v>45</v>
      </c>
      <c r="H170" t="s">
        <v>19</v>
      </c>
      <c r="I170" t="s">
        <v>19</v>
      </c>
      <c r="J170" t="s">
        <v>20</v>
      </c>
      <c r="K170" t="s">
        <v>21</v>
      </c>
      <c r="L170" t="s">
        <v>19</v>
      </c>
      <c r="M170">
        <v>0</v>
      </c>
      <c r="N170">
        <v>6</v>
      </c>
      <c r="O170" t="s">
        <v>225</v>
      </c>
      <c r="P170" t="s">
        <v>283</v>
      </c>
    </row>
    <row r="171" spans="1:16" x14ac:dyDescent="0.3">
      <c r="A171">
        <v>229</v>
      </c>
      <c r="B171" t="s">
        <v>35</v>
      </c>
      <c r="C171" t="s">
        <v>412</v>
      </c>
      <c r="D171" s="6">
        <v>40286</v>
      </c>
      <c r="E171" t="s">
        <v>313</v>
      </c>
      <c r="F171" t="s">
        <v>37</v>
      </c>
      <c r="G171" t="s">
        <v>260</v>
      </c>
      <c r="H171" t="s">
        <v>38</v>
      </c>
      <c r="I171" t="s">
        <v>260</v>
      </c>
      <c r="J171" t="s">
        <v>40</v>
      </c>
      <c r="K171" t="s">
        <v>21</v>
      </c>
      <c r="L171" t="s">
        <v>260</v>
      </c>
      <c r="M171">
        <v>11</v>
      </c>
      <c r="N171">
        <v>0</v>
      </c>
      <c r="O171" t="s">
        <v>259</v>
      </c>
      <c r="P171" t="s">
        <v>262</v>
      </c>
    </row>
    <row r="172" spans="1:16" x14ac:dyDescent="0.3">
      <c r="A172">
        <v>230</v>
      </c>
      <c r="B172" t="s">
        <v>24</v>
      </c>
      <c r="C172" t="s">
        <v>412</v>
      </c>
      <c r="D172" s="6">
        <v>40287</v>
      </c>
      <c r="E172" t="s">
        <v>311</v>
      </c>
      <c r="F172" t="s">
        <v>26</v>
      </c>
      <c r="G172" t="s">
        <v>39</v>
      </c>
      <c r="H172" t="s">
        <v>27</v>
      </c>
      <c r="I172" t="s">
        <v>39</v>
      </c>
      <c r="J172" t="s">
        <v>40</v>
      </c>
      <c r="K172" t="s">
        <v>21</v>
      </c>
      <c r="L172" t="s">
        <v>27</v>
      </c>
      <c r="M172">
        <v>0</v>
      </c>
      <c r="N172">
        <v>9</v>
      </c>
      <c r="O172" t="s">
        <v>312</v>
      </c>
      <c r="P172" t="s">
        <v>281</v>
      </c>
    </row>
    <row r="173" spans="1:16" x14ac:dyDescent="0.3">
      <c r="A173">
        <v>231</v>
      </c>
      <c r="B173" t="s">
        <v>15</v>
      </c>
      <c r="C173" t="s">
        <v>412</v>
      </c>
      <c r="D173" s="6">
        <v>40289</v>
      </c>
      <c r="E173" t="s">
        <v>147</v>
      </c>
      <c r="F173" t="s">
        <v>285</v>
      </c>
      <c r="G173" t="s">
        <v>39</v>
      </c>
      <c r="H173" t="s">
        <v>50</v>
      </c>
      <c r="I173" t="s">
        <v>39</v>
      </c>
      <c r="J173" t="s">
        <v>40</v>
      </c>
      <c r="K173" t="s">
        <v>21</v>
      </c>
      <c r="L173" t="s">
        <v>39</v>
      </c>
      <c r="M173">
        <v>35</v>
      </c>
      <c r="N173">
        <v>0</v>
      </c>
      <c r="O173" t="s">
        <v>259</v>
      </c>
      <c r="P173" t="s">
        <v>288</v>
      </c>
    </row>
    <row r="174" spans="1:16" x14ac:dyDescent="0.3">
      <c r="A174">
        <v>232</v>
      </c>
      <c r="B174" t="s">
        <v>15</v>
      </c>
      <c r="C174" t="s">
        <v>412</v>
      </c>
      <c r="D174" s="6">
        <v>40290</v>
      </c>
      <c r="E174" t="s">
        <v>302</v>
      </c>
      <c r="F174" t="s">
        <v>285</v>
      </c>
      <c r="G174" t="s">
        <v>19</v>
      </c>
      <c r="H174" t="s">
        <v>260</v>
      </c>
      <c r="I174" t="s">
        <v>19</v>
      </c>
      <c r="J174" t="s">
        <v>40</v>
      </c>
      <c r="K174" t="s">
        <v>21</v>
      </c>
      <c r="L174" t="s">
        <v>19</v>
      </c>
      <c r="M174">
        <v>38</v>
      </c>
      <c r="N174">
        <v>0</v>
      </c>
      <c r="O174" t="s">
        <v>259</v>
      </c>
      <c r="P174" t="s">
        <v>288</v>
      </c>
    </row>
    <row r="175" spans="1:16" x14ac:dyDescent="0.3">
      <c r="A175">
        <v>233</v>
      </c>
      <c r="B175" t="s">
        <v>15</v>
      </c>
      <c r="C175" t="s">
        <v>412</v>
      </c>
      <c r="D175" s="6">
        <v>40292</v>
      </c>
      <c r="E175" t="s">
        <v>310</v>
      </c>
      <c r="F175" t="s">
        <v>285</v>
      </c>
      <c r="G175" t="s">
        <v>260</v>
      </c>
      <c r="H175" t="s">
        <v>50</v>
      </c>
      <c r="I175" t="s">
        <v>260</v>
      </c>
      <c r="J175" t="s">
        <v>40</v>
      </c>
      <c r="K175" t="s">
        <v>21</v>
      </c>
      <c r="L175" t="s">
        <v>50</v>
      </c>
      <c r="M175">
        <v>0</v>
      </c>
      <c r="N175">
        <v>9</v>
      </c>
      <c r="O175" t="s">
        <v>281</v>
      </c>
      <c r="P175" t="s">
        <v>231</v>
      </c>
    </row>
    <row r="176" spans="1:16" x14ac:dyDescent="0.3">
      <c r="A176">
        <v>234</v>
      </c>
      <c r="B176" t="s">
        <v>15</v>
      </c>
      <c r="C176" t="s">
        <v>412</v>
      </c>
      <c r="D176" s="6">
        <v>40293</v>
      </c>
      <c r="E176" t="s">
        <v>144</v>
      </c>
      <c r="F176" t="s">
        <v>285</v>
      </c>
      <c r="G176" t="s">
        <v>19</v>
      </c>
      <c r="H176" t="s">
        <v>39</v>
      </c>
      <c r="I176" t="s">
        <v>19</v>
      </c>
      <c r="J176" t="s">
        <v>40</v>
      </c>
      <c r="K176" t="s">
        <v>21</v>
      </c>
      <c r="L176" t="s">
        <v>19</v>
      </c>
      <c r="M176">
        <v>22</v>
      </c>
      <c r="N176">
        <v>0</v>
      </c>
      <c r="O176" t="s">
        <v>281</v>
      </c>
      <c r="P176" t="s">
        <v>231</v>
      </c>
    </row>
    <row r="177" spans="1:16" x14ac:dyDescent="0.3">
      <c r="A177">
        <v>235</v>
      </c>
      <c r="B177" t="s">
        <v>98</v>
      </c>
      <c r="C177" t="s">
        <v>409</v>
      </c>
      <c r="D177" s="6">
        <v>40641</v>
      </c>
      <c r="E177" t="s">
        <v>309</v>
      </c>
      <c r="F177" t="s">
        <v>100</v>
      </c>
      <c r="G177" t="s">
        <v>19</v>
      </c>
      <c r="H177" t="s">
        <v>27</v>
      </c>
      <c r="I177" t="s">
        <v>19</v>
      </c>
      <c r="J177" t="s">
        <v>40</v>
      </c>
      <c r="K177" t="s">
        <v>21</v>
      </c>
      <c r="L177" t="s">
        <v>19</v>
      </c>
      <c r="M177">
        <v>2</v>
      </c>
      <c r="N177">
        <v>0</v>
      </c>
      <c r="O177" t="s">
        <v>259</v>
      </c>
      <c r="P177" t="s">
        <v>284</v>
      </c>
    </row>
    <row r="178" spans="1:16" x14ac:dyDescent="0.3">
      <c r="A178">
        <v>236</v>
      </c>
      <c r="B178" t="s">
        <v>53</v>
      </c>
      <c r="C178" t="s">
        <v>409</v>
      </c>
      <c r="D178" s="6">
        <v>40642</v>
      </c>
      <c r="E178" t="s">
        <v>256</v>
      </c>
      <c r="F178" t="s">
        <v>55</v>
      </c>
      <c r="G178" t="s">
        <v>260</v>
      </c>
      <c r="H178" t="s">
        <v>31</v>
      </c>
      <c r="I178" t="s">
        <v>31</v>
      </c>
      <c r="J178" t="s">
        <v>20</v>
      </c>
      <c r="K178" t="s">
        <v>21</v>
      </c>
      <c r="L178" t="s">
        <v>31</v>
      </c>
      <c r="M178">
        <v>0</v>
      </c>
      <c r="N178">
        <v>8</v>
      </c>
      <c r="O178" t="s">
        <v>281</v>
      </c>
      <c r="P178" t="s">
        <v>262</v>
      </c>
    </row>
    <row r="179" spans="1:16" x14ac:dyDescent="0.3">
      <c r="A179">
        <v>237</v>
      </c>
      <c r="B179" t="s">
        <v>294</v>
      </c>
      <c r="C179" t="s">
        <v>409</v>
      </c>
      <c r="D179" s="6">
        <v>40642</v>
      </c>
      <c r="E179" t="s">
        <v>59</v>
      </c>
      <c r="F179" t="s">
        <v>295</v>
      </c>
      <c r="G179" t="s">
        <v>286</v>
      </c>
      <c r="H179" t="s">
        <v>50</v>
      </c>
      <c r="I179" t="s">
        <v>286</v>
      </c>
      <c r="J179" t="s">
        <v>40</v>
      </c>
      <c r="K179" t="s">
        <v>21</v>
      </c>
      <c r="L179" t="s">
        <v>50</v>
      </c>
      <c r="M179">
        <v>0</v>
      </c>
      <c r="N179">
        <v>6</v>
      </c>
      <c r="O179" t="s">
        <v>154</v>
      </c>
      <c r="P179" t="s">
        <v>280</v>
      </c>
    </row>
    <row r="180" spans="1:16" x14ac:dyDescent="0.3">
      <c r="A180">
        <v>238</v>
      </c>
      <c r="B180" t="s">
        <v>35</v>
      </c>
      <c r="C180" t="s">
        <v>409</v>
      </c>
      <c r="D180" s="6">
        <v>40643</v>
      </c>
      <c r="E180" t="s">
        <v>200</v>
      </c>
      <c r="F180" t="s">
        <v>37</v>
      </c>
      <c r="G180" t="s">
        <v>38</v>
      </c>
      <c r="H180" t="s">
        <v>39</v>
      </c>
      <c r="I180" t="s">
        <v>38</v>
      </c>
      <c r="J180" t="s">
        <v>40</v>
      </c>
      <c r="K180" t="s">
        <v>21</v>
      </c>
      <c r="L180" t="s">
        <v>39</v>
      </c>
      <c r="M180">
        <v>0</v>
      </c>
      <c r="N180">
        <v>8</v>
      </c>
      <c r="O180" t="s">
        <v>283</v>
      </c>
      <c r="P180" t="s">
        <v>288</v>
      </c>
    </row>
    <row r="181" spans="1:16" x14ac:dyDescent="0.3">
      <c r="A181">
        <v>239</v>
      </c>
      <c r="B181" t="s">
        <v>15</v>
      </c>
      <c r="C181" t="s">
        <v>409</v>
      </c>
      <c r="D181" s="6">
        <v>40643</v>
      </c>
      <c r="E181" t="s">
        <v>308</v>
      </c>
      <c r="F181" t="s">
        <v>285</v>
      </c>
      <c r="G181" t="s">
        <v>45</v>
      </c>
      <c r="H181" t="s">
        <v>235</v>
      </c>
      <c r="I181" t="s">
        <v>45</v>
      </c>
      <c r="J181" t="s">
        <v>40</v>
      </c>
      <c r="K181" t="s">
        <v>21</v>
      </c>
      <c r="L181" t="s">
        <v>235</v>
      </c>
      <c r="M181">
        <v>0</v>
      </c>
      <c r="N181">
        <v>7</v>
      </c>
      <c r="O181" t="s">
        <v>259</v>
      </c>
      <c r="P181" t="s">
        <v>284</v>
      </c>
    </row>
    <row r="182" spans="1:16" x14ac:dyDescent="0.3">
      <c r="A182">
        <v>240</v>
      </c>
      <c r="B182" t="s">
        <v>24</v>
      </c>
      <c r="C182" t="s">
        <v>409</v>
      </c>
      <c r="D182" s="6">
        <v>40644</v>
      </c>
      <c r="E182" t="s">
        <v>230</v>
      </c>
      <c r="F182" t="s">
        <v>26</v>
      </c>
      <c r="G182" t="s">
        <v>27</v>
      </c>
      <c r="H182" t="s">
        <v>260</v>
      </c>
      <c r="I182" t="s">
        <v>27</v>
      </c>
      <c r="J182" t="s">
        <v>40</v>
      </c>
      <c r="K182" t="s">
        <v>21</v>
      </c>
      <c r="L182" t="s">
        <v>27</v>
      </c>
      <c r="M182">
        <v>9</v>
      </c>
      <c r="N182">
        <v>0</v>
      </c>
      <c r="O182" t="s">
        <v>281</v>
      </c>
      <c r="P182" t="s">
        <v>262</v>
      </c>
    </row>
    <row r="183" spans="1:16" x14ac:dyDescent="0.3">
      <c r="A183">
        <v>241</v>
      </c>
      <c r="B183" t="s">
        <v>47</v>
      </c>
      <c r="C183" t="s">
        <v>409</v>
      </c>
      <c r="D183" s="6">
        <v>40645</v>
      </c>
      <c r="E183" t="s">
        <v>303</v>
      </c>
      <c r="F183" t="s">
        <v>49</v>
      </c>
      <c r="G183" t="s">
        <v>38</v>
      </c>
      <c r="H183" t="s">
        <v>31</v>
      </c>
      <c r="I183" t="s">
        <v>38</v>
      </c>
      <c r="J183" t="s">
        <v>40</v>
      </c>
      <c r="K183" t="s">
        <v>21</v>
      </c>
      <c r="L183" t="s">
        <v>31</v>
      </c>
      <c r="M183">
        <v>0</v>
      </c>
      <c r="N183">
        <v>6</v>
      </c>
      <c r="O183" t="s">
        <v>224</v>
      </c>
      <c r="P183" t="s">
        <v>288</v>
      </c>
    </row>
    <row r="184" spans="1:16" x14ac:dyDescent="0.3">
      <c r="A184">
        <v>242</v>
      </c>
      <c r="B184" t="s">
        <v>105</v>
      </c>
      <c r="C184" t="s">
        <v>409</v>
      </c>
      <c r="D184" s="6">
        <v>40645</v>
      </c>
      <c r="E184" t="s">
        <v>247</v>
      </c>
      <c r="F184" t="s">
        <v>60</v>
      </c>
      <c r="G184" t="s">
        <v>50</v>
      </c>
      <c r="H184" t="s">
        <v>39</v>
      </c>
      <c r="I184" t="s">
        <v>39</v>
      </c>
      <c r="J184" t="s">
        <v>20</v>
      </c>
      <c r="K184" t="s">
        <v>21</v>
      </c>
      <c r="L184" t="s">
        <v>39</v>
      </c>
      <c r="M184">
        <v>0</v>
      </c>
      <c r="N184">
        <v>9</v>
      </c>
      <c r="O184" t="s">
        <v>154</v>
      </c>
      <c r="P184" t="s">
        <v>299</v>
      </c>
    </row>
    <row r="185" spans="1:16" x14ac:dyDescent="0.3">
      <c r="A185">
        <v>243</v>
      </c>
      <c r="B185" t="s">
        <v>123</v>
      </c>
      <c r="C185" t="s">
        <v>409</v>
      </c>
      <c r="D185" s="6">
        <v>40646</v>
      </c>
      <c r="E185" t="s">
        <v>306</v>
      </c>
      <c r="F185" t="s">
        <v>188</v>
      </c>
      <c r="G185" t="s">
        <v>19</v>
      </c>
      <c r="H185" t="s">
        <v>45</v>
      </c>
      <c r="I185" t="s">
        <v>45</v>
      </c>
      <c r="J185" t="s">
        <v>20</v>
      </c>
      <c r="K185" t="s">
        <v>21</v>
      </c>
      <c r="L185" t="s">
        <v>45</v>
      </c>
      <c r="M185">
        <v>0</v>
      </c>
      <c r="N185">
        <v>6</v>
      </c>
      <c r="O185" t="s">
        <v>236</v>
      </c>
      <c r="P185" t="s">
        <v>287</v>
      </c>
    </row>
    <row r="186" spans="1:16" x14ac:dyDescent="0.3">
      <c r="A186">
        <v>244</v>
      </c>
      <c r="B186" t="s">
        <v>15</v>
      </c>
      <c r="C186" t="s">
        <v>409</v>
      </c>
      <c r="D186" s="6">
        <v>40646</v>
      </c>
      <c r="E186" t="s">
        <v>307</v>
      </c>
      <c r="F186" t="s">
        <v>285</v>
      </c>
      <c r="G186" t="s">
        <v>286</v>
      </c>
      <c r="H186" t="s">
        <v>235</v>
      </c>
      <c r="I186" t="s">
        <v>286</v>
      </c>
      <c r="J186" t="s">
        <v>40</v>
      </c>
      <c r="K186" t="s">
        <v>21</v>
      </c>
      <c r="L186" t="s">
        <v>235</v>
      </c>
      <c r="M186">
        <v>0</v>
      </c>
      <c r="N186">
        <v>4</v>
      </c>
      <c r="O186" t="s">
        <v>237</v>
      </c>
      <c r="P186" t="s">
        <v>284</v>
      </c>
    </row>
    <row r="187" spans="1:16" x14ac:dyDescent="0.3">
      <c r="A187">
        <v>245</v>
      </c>
      <c r="B187" t="s">
        <v>53</v>
      </c>
      <c r="C187" t="s">
        <v>409</v>
      </c>
      <c r="D187" s="6">
        <v>40647</v>
      </c>
      <c r="E187" t="s">
        <v>218</v>
      </c>
      <c r="F187" t="s">
        <v>55</v>
      </c>
      <c r="G187" t="s">
        <v>260</v>
      </c>
      <c r="H187" t="s">
        <v>50</v>
      </c>
      <c r="I187" t="s">
        <v>50</v>
      </c>
      <c r="J187" t="s">
        <v>20</v>
      </c>
      <c r="K187" t="s">
        <v>21</v>
      </c>
      <c r="L187" t="s">
        <v>260</v>
      </c>
      <c r="M187">
        <v>33</v>
      </c>
      <c r="N187">
        <v>0</v>
      </c>
      <c r="O187" t="s">
        <v>281</v>
      </c>
      <c r="P187" t="s">
        <v>23</v>
      </c>
    </row>
    <row r="188" spans="1:16" x14ac:dyDescent="0.3">
      <c r="A188">
        <v>246</v>
      </c>
      <c r="B188" t="s">
        <v>47</v>
      </c>
      <c r="C188" t="s">
        <v>409</v>
      </c>
      <c r="D188" s="6">
        <v>40648</v>
      </c>
      <c r="E188" t="s">
        <v>139</v>
      </c>
      <c r="F188" t="s">
        <v>49</v>
      </c>
      <c r="G188" t="s">
        <v>31</v>
      </c>
      <c r="H188" t="s">
        <v>27</v>
      </c>
      <c r="I188" t="s">
        <v>27</v>
      </c>
      <c r="J188" t="s">
        <v>20</v>
      </c>
      <c r="K188" t="s">
        <v>21</v>
      </c>
      <c r="L188" t="s">
        <v>27</v>
      </c>
      <c r="M188">
        <v>0</v>
      </c>
      <c r="N188">
        <v>9</v>
      </c>
      <c r="O188" t="s">
        <v>224</v>
      </c>
      <c r="P188" t="s">
        <v>220</v>
      </c>
    </row>
    <row r="189" spans="1:16" x14ac:dyDescent="0.3">
      <c r="A189">
        <v>247</v>
      </c>
      <c r="B189" t="s">
        <v>15</v>
      </c>
      <c r="C189" t="s">
        <v>409</v>
      </c>
      <c r="D189" s="6">
        <v>40648</v>
      </c>
      <c r="E189" t="s">
        <v>201</v>
      </c>
      <c r="F189" t="s">
        <v>17</v>
      </c>
      <c r="G189" t="s">
        <v>39</v>
      </c>
      <c r="H189" t="s">
        <v>286</v>
      </c>
      <c r="I189" t="s">
        <v>286</v>
      </c>
      <c r="J189" t="s">
        <v>20</v>
      </c>
      <c r="K189" t="s">
        <v>21</v>
      </c>
      <c r="L189" t="s">
        <v>286</v>
      </c>
      <c r="M189">
        <v>0</v>
      </c>
      <c r="N189">
        <v>8</v>
      </c>
      <c r="O189" t="s">
        <v>259</v>
      </c>
      <c r="P189" t="s">
        <v>284</v>
      </c>
    </row>
    <row r="190" spans="1:16" x14ac:dyDescent="0.3">
      <c r="A190">
        <v>248</v>
      </c>
      <c r="B190" t="s">
        <v>98</v>
      </c>
      <c r="C190" t="s">
        <v>409</v>
      </c>
      <c r="D190" s="6">
        <v>40649</v>
      </c>
      <c r="E190" t="s">
        <v>215</v>
      </c>
      <c r="F190" t="s">
        <v>100</v>
      </c>
      <c r="G190" t="s">
        <v>19</v>
      </c>
      <c r="H190" t="s">
        <v>50</v>
      </c>
      <c r="I190" t="s">
        <v>19</v>
      </c>
      <c r="J190" t="s">
        <v>40</v>
      </c>
      <c r="K190" t="s">
        <v>21</v>
      </c>
      <c r="L190" t="s">
        <v>19</v>
      </c>
      <c r="M190">
        <v>21</v>
      </c>
      <c r="N190">
        <v>0</v>
      </c>
      <c r="O190" t="s">
        <v>154</v>
      </c>
      <c r="P190" t="s">
        <v>299</v>
      </c>
    </row>
    <row r="191" spans="1:16" x14ac:dyDescent="0.3">
      <c r="A191">
        <v>249</v>
      </c>
      <c r="B191" t="s">
        <v>53</v>
      </c>
      <c r="C191" t="s">
        <v>409</v>
      </c>
      <c r="D191" s="6">
        <v>40649</v>
      </c>
      <c r="E191" t="s">
        <v>306</v>
      </c>
      <c r="F191" t="s">
        <v>55</v>
      </c>
      <c r="G191" t="s">
        <v>260</v>
      </c>
      <c r="H191" t="s">
        <v>45</v>
      </c>
      <c r="I191" t="s">
        <v>45</v>
      </c>
      <c r="J191" t="s">
        <v>20</v>
      </c>
      <c r="K191" t="s">
        <v>21</v>
      </c>
      <c r="L191" t="s">
        <v>45</v>
      </c>
      <c r="M191">
        <v>0</v>
      </c>
      <c r="N191">
        <v>8</v>
      </c>
      <c r="O191" t="s">
        <v>281</v>
      </c>
      <c r="P191" t="s">
        <v>23</v>
      </c>
    </row>
    <row r="192" spans="1:16" x14ac:dyDescent="0.3">
      <c r="A192">
        <v>250</v>
      </c>
      <c r="B192" t="s">
        <v>15</v>
      </c>
      <c r="C192" t="s">
        <v>409</v>
      </c>
      <c r="D192" s="6">
        <v>40650</v>
      </c>
      <c r="E192" t="s">
        <v>152</v>
      </c>
      <c r="F192" t="s">
        <v>285</v>
      </c>
      <c r="G192" t="s">
        <v>235</v>
      </c>
      <c r="H192" t="s">
        <v>38</v>
      </c>
      <c r="I192" t="s">
        <v>38</v>
      </c>
      <c r="J192" t="s">
        <v>20</v>
      </c>
      <c r="K192" t="s">
        <v>21</v>
      </c>
      <c r="L192" t="s">
        <v>38</v>
      </c>
      <c r="M192">
        <v>0</v>
      </c>
      <c r="N192">
        <v>3</v>
      </c>
      <c r="O192" t="s">
        <v>236</v>
      </c>
      <c r="P192" t="s">
        <v>283</v>
      </c>
    </row>
    <row r="193" spans="1:16" x14ac:dyDescent="0.3">
      <c r="A193">
        <v>251</v>
      </c>
      <c r="B193" t="s">
        <v>24</v>
      </c>
      <c r="C193" t="s">
        <v>409</v>
      </c>
      <c r="D193" s="6">
        <v>40650</v>
      </c>
      <c r="E193" t="s">
        <v>275</v>
      </c>
      <c r="F193" t="s">
        <v>26</v>
      </c>
      <c r="G193" t="s">
        <v>31</v>
      </c>
      <c r="H193" t="s">
        <v>27</v>
      </c>
      <c r="I193" t="s">
        <v>27</v>
      </c>
      <c r="J193" t="s">
        <v>20</v>
      </c>
      <c r="K193" t="s">
        <v>21</v>
      </c>
      <c r="L193" t="s">
        <v>27</v>
      </c>
      <c r="M193">
        <v>0</v>
      </c>
      <c r="N193">
        <v>8</v>
      </c>
      <c r="O193" t="s">
        <v>224</v>
      </c>
      <c r="P193" t="s">
        <v>288</v>
      </c>
    </row>
    <row r="194" spans="1:16" x14ac:dyDescent="0.3">
      <c r="A194">
        <v>252</v>
      </c>
      <c r="B194" t="s">
        <v>294</v>
      </c>
      <c r="C194" t="s">
        <v>409</v>
      </c>
      <c r="D194" s="6">
        <v>40651</v>
      </c>
      <c r="E194" t="s">
        <v>201</v>
      </c>
      <c r="F194" t="s">
        <v>295</v>
      </c>
      <c r="G194" t="s">
        <v>19</v>
      </c>
      <c r="H194" t="s">
        <v>286</v>
      </c>
      <c r="I194" t="s">
        <v>286</v>
      </c>
      <c r="J194" t="s">
        <v>20</v>
      </c>
      <c r="K194" t="s">
        <v>21</v>
      </c>
      <c r="L194" t="s">
        <v>286</v>
      </c>
      <c r="M194">
        <v>0</v>
      </c>
      <c r="N194">
        <v>7</v>
      </c>
      <c r="O194" t="s">
        <v>280</v>
      </c>
      <c r="P194" t="s">
        <v>299</v>
      </c>
    </row>
    <row r="195" spans="1:16" x14ac:dyDescent="0.3">
      <c r="A195">
        <v>253</v>
      </c>
      <c r="B195" t="s">
        <v>35</v>
      </c>
      <c r="C195" t="s">
        <v>409</v>
      </c>
      <c r="D195" s="6">
        <v>40652</v>
      </c>
      <c r="E195" t="s">
        <v>305</v>
      </c>
      <c r="F195" t="s">
        <v>37</v>
      </c>
      <c r="G195" t="s">
        <v>260</v>
      </c>
      <c r="H195" t="s">
        <v>38</v>
      </c>
      <c r="I195" t="s">
        <v>260</v>
      </c>
      <c r="J195" t="s">
        <v>40</v>
      </c>
      <c r="K195" t="s">
        <v>21</v>
      </c>
      <c r="L195" t="s">
        <v>260</v>
      </c>
      <c r="M195">
        <v>16</v>
      </c>
      <c r="N195">
        <v>0</v>
      </c>
      <c r="O195" t="s">
        <v>284</v>
      </c>
      <c r="P195" t="s">
        <v>170</v>
      </c>
    </row>
    <row r="196" spans="1:16" x14ac:dyDescent="0.3">
      <c r="A196">
        <v>254</v>
      </c>
      <c r="B196" t="s">
        <v>15</v>
      </c>
      <c r="C196" t="s">
        <v>409</v>
      </c>
      <c r="D196" s="6">
        <v>40653</v>
      </c>
      <c r="E196" t="s">
        <v>279</v>
      </c>
      <c r="F196" t="s">
        <v>17</v>
      </c>
      <c r="G196" t="s">
        <v>235</v>
      </c>
      <c r="H196" t="s">
        <v>39</v>
      </c>
      <c r="I196" t="s">
        <v>235</v>
      </c>
      <c r="J196" t="s">
        <v>40</v>
      </c>
      <c r="K196" t="s">
        <v>21</v>
      </c>
      <c r="L196" t="s">
        <v>39</v>
      </c>
      <c r="M196">
        <v>0</v>
      </c>
      <c r="N196">
        <v>7</v>
      </c>
      <c r="O196" t="s">
        <v>236</v>
      </c>
      <c r="P196" t="s">
        <v>283</v>
      </c>
    </row>
    <row r="197" spans="1:16" x14ac:dyDescent="0.3">
      <c r="A197">
        <v>255</v>
      </c>
      <c r="B197" t="s">
        <v>24</v>
      </c>
      <c r="C197" t="s">
        <v>409</v>
      </c>
      <c r="D197" s="6">
        <v>40653</v>
      </c>
      <c r="E197" t="s">
        <v>304</v>
      </c>
      <c r="F197" t="s">
        <v>26</v>
      </c>
      <c r="G197" t="s">
        <v>286</v>
      </c>
      <c r="H197" t="s">
        <v>27</v>
      </c>
      <c r="I197" t="s">
        <v>27</v>
      </c>
      <c r="J197" t="s">
        <v>20</v>
      </c>
      <c r="K197" t="s">
        <v>21</v>
      </c>
      <c r="L197" t="s">
        <v>286</v>
      </c>
      <c r="M197">
        <v>6</v>
      </c>
      <c r="N197">
        <v>0</v>
      </c>
      <c r="O197" t="s">
        <v>224</v>
      </c>
      <c r="P197" t="s">
        <v>288</v>
      </c>
    </row>
    <row r="198" spans="1:16" x14ac:dyDescent="0.3">
      <c r="A198">
        <v>256</v>
      </c>
      <c r="B198" t="s">
        <v>123</v>
      </c>
      <c r="C198" t="s">
        <v>409</v>
      </c>
      <c r="D198" s="6">
        <v>40654</v>
      </c>
      <c r="E198" t="s">
        <v>206</v>
      </c>
      <c r="F198" t="s">
        <v>188</v>
      </c>
      <c r="G198" t="s">
        <v>45</v>
      </c>
      <c r="H198" t="s">
        <v>31</v>
      </c>
      <c r="I198" t="s">
        <v>31</v>
      </c>
      <c r="J198" t="s">
        <v>20</v>
      </c>
      <c r="K198" t="s">
        <v>21</v>
      </c>
      <c r="L198" t="s">
        <v>45</v>
      </c>
      <c r="M198">
        <v>48</v>
      </c>
      <c r="N198">
        <v>0</v>
      </c>
      <c r="O198" t="s">
        <v>237</v>
      </c>
      <c r="P198" t="s">
        <v>284</v>
      </c>
    </row>
    <row r="199" spans="1:16" x14ac:dyDescent="0.3">
      <c r="A199">
        <v>257</v>
      </c>
      <c r="B199" t="s">
        <v>15</v>
      </c>
      <c r="C199" t="s">
        <v>409</v>
      </c>
      <c r="D199" s="6">
        <v>40655</v>
      </c>
      <c r="E199" t="s">
        <v>195</v>
      </c>
      <c r="F199" t="s">
        <v>17</v>
      </c>
      <c r="G199" t="s">
        <v>39</v>
      </c>
      <c r="H199" t="s">
        <v>19</v>
      </c>
      <c r="I199" t="s">
        <v>19</v>
      </c>
      <c r="J199" t="s">
        <v>20</v>
      </c>
      <c r="K199" t="s">
        <v>21</v>
      </c>
      <c r="L199" t="s">
        <v>39</v>
      </c>
      <c r="M199">
        <v>8</v>
      </c>
      <c r="N199">
        <v>0</v>
      </c>
      <c r="O199" t="s">
        <v>236</v>
      </c>
      <c r="P199" t="s">
        <v>283</v>
      </c>
    </row>
    <row r="200" spans="1:16" x14ac:dyDescent="0.3">
      <c r="A200">
        <v>258</v>
      </c>
      <c r="B200" t="s">
        <v>24</v>
      </c>
      <c r="C200" t="s">
        <v>409</v>
      </c>
      <c r="D200" s="6">
        <v>40655</v>
      </c>
      <c r="E200" t="s">
        <v>92</v>
      </c>
      <c r="F200" t="s">
        <v>26</v>
      </c>
      <c r="G200" t="s">
        <v>27</v>
      </c>
      <c r="H200" t="s">
        <v>50</v>
      </c>
      <c r="I200" t="s">
        <v>50</v>
      </c>
      <c r="J200" t="s">
        <v>20</v>
      </c>
      <c r="K200" t="s">
        <v>21</v>
      </c>
      <c r="L200" t="s">
        <v>50</v>
      </c>
      <c r="M200">
        <v>0</v>
      </c>
      <c r="N200">
        <v>9</v>
      </c>
      <c r="O200" t="s">
        <v>220</v>
      </c>
      <c r="P200" t="s">
        <v>288</v>
      </c>
    </row>
    <row r="201" spans="1:16" x14ac:dyDescent="0.3">
      <c r="A201">
        <v>259</v>
      </c>
      <c r="B201" t="s">
        <v>35</v>
      </c>
      <c r="C201" t="s">
        <v>409</v>
      </c>
      <c r="D201" s="6">
        <v>40656</v>
      </c>
      <c r="E201" t="s">
        <v>134</v>
      </c>
      <c r="F201" t="s">
        <v>37</v>
      </c>
      <c r="G201" t="s">
        <v>38</v>
      </c>
      <c r="H201" t="s">
        <v>45</v>
      </c>
      <c r="I201" t="s">
        <v>45</v>
      </c>
      <c r="J201" t="s">
        <v>20</v>
      </c>
      <c r="K201" t="s">
        <v>21</v>
      </c>
      <c r="L201" t="s">
        <v>38</v>
      </c>
      <c r="M201">
        <v>29</v>
      </c>
      <c r="N201">
        <v>0</v>
      </c>
      <c r="O201" t="s">
        <v>237</v>
      </c>
      <c r="P201" t="s">
        <v>281</v>
      </c>
    </row>
    <row r="202" spans="1:16" x14ac:dyDescent="0.3">
      <c r="A202">
        <v>260</v>
      </c>
      <c r="B202" t="s">
        <v>53</v>
      </c>
      <c r="C202" t="s">
        <v>409</v>
      </c>
      <c r="D202" s="6">
        <v>40657</v>
      </c>
      <c r="E202" t="s">
        <v>200</v>
      </c>
      <c r="F202" t="s">
        <v>55</v>
      </c>
      <c r="G202" t="s">
        <v>39</v>
      </c>
      <c r="H202" t="s">
        <v>260</v>
      </c>
      <c r="I202" t="s">
        <v>260</v>
      </c>
      <c r="J202" t="s">
        <v>20</v>
      </c>
      <c r="K202" t="s">
        <v>21</v>
      </c>
      <c r="L202" t="s">
        <v>39</v>
      </c>
      <c r="M202">
        <v>37</v>
      </c>
      <c r="N202">
        <v>0</v>
      </c>
      <c r="O202" t="s">
        <v>154</v>
      </c>
      <c r="P202" t="s">
        <v>299</v>
      </c>
    </row>
    <row r="203" spans="1:16" x14ac:dyDescent="0.3">
      <c r="A203">
        <v>261</v>
      </c>
      <c r="B203" t="s">
        <v>47</v>
      </c>
      <c r="C203" t="s">
        <v>409</v>
      </c>
      <c r="D203" s="6">
        <v>40657</v>
      </c>
      <c r="E203" t="s">
        <v>303</v>
      </c>
      <c r="F203" t="s">
        <v>49</v>
      </c>
      <c r="G203" t="s">
        <v>286</v>
      </c>
      <c r="H203" t="s">
        <v>31</v>
      </c>
      <c r="I203" t="s">
        <v>31</v>
      </c>
      <c r="J203" t="s">
        <v>20</v>
      </c>
      <c r="K203" t="s">
        <v>21</v>
      </c>
      <c r="L203" t="s">
        <v>31</v>
      </c>
      <c r="M203">
        <v>0</v>
      </c>
      <c r="N203">
        <v>8</v>
      </c>
      <c r="O203" t="s">
        <v>259</v>
      </c>
      <c r="P203" t="s">
        <v>262</v>
      </c>
    </row>
    <row r="204" spans="1:16" x14ac:dyDescent="0.3">
      <c r="A204">
        <v>262</v>
      </c>
      <c r="B204" t="s">
        <v>98</v>
      </c>
      <c r="C204" t="s">
        <v>409</v>
      </c>
      <c r="D204" s="6">
        <v>40658</v>
      </c>
      <c r="E204" t="s">
        <v>215</v>
      </c>
      <c r="F204" t="s">
        <v>100</v>
      </c>
      <c r="G204" t="s">
        <v>19</v>
      </c>
      <c r="H204" t="s">
        <v>235</v>
      </c>
      <c r="I204" t="s">
        <v>235</v>
      </c>
      <c r="J204" t="s">
        <v>20</v>
      </c>
      <c r="K204" t="s">
        <v>21</v>
      </c>
      <c r="L204" t="s">
        <v>19</v>
      </c>
      <c r="M204">
        <v>25</v>
      </c>
      <c r="N204">
        <v>0</v>
      </c>
      <c r="O204" t="s">
        <v>224</v>
      </c>
      <c r="P204" t="s">
        <v>288</v>
      </c>
    </row>
    <row r="205" spans="1:16" x14ac:dyDescent="0.3">
      <c r="A205">
        <v>263</v>
      </c>
      <c r="B205" t="s">
        <v>35</v>
      </c>
      <c r="C205" t="s">
        <v>409</v>
      </c>
      <c r="D205" s="6">
        <v>40659</v>
      </c>
      <c r="E205" t="s">
        <v>159</v>
      </c>
      <c r="F205" t="s">
        <v>37</v>
      </c>
      <c r="G205" t="s">
        <v>38</v>
      </c>
      <c r="H205" t="s">
        <v>50</v>
      </c>
      <c r="I205" t="s">
        <v>50</v>
      </c>
      <c r="J205" t="s">
        <v>20</v>
      </c>
      <c r="K205" t="s">
        <v>21</v>
      </c>
      <c r="L205" t="s">
        <v>50</v>
      </c>
      <c r="M205">
        <v>0</v>
      </c>
      <c r="N205">
        <v>3</v>
      </c>
      <c r="O205" t="s">
        <v>237</v>
      </c>
      <c r="P205" t="s">
        <v>170</v>
      </c>
    </row>
    <row r="206" spans="1:16" x14ac:dyDescent="0.3">
      <c r="A206">
        <v>264</v>
      </c>
      <c r="B206" t="s">
        <v>15</v>
      </c>
      <c r="C206" t="s">
        <v>409</v>
      </c>
      <c r="D206" s="6">
        <v>40660</v>
      </c>
      <c r="E206" t="s">
        <v>302</v>
      </c>
      <c r="F206" t="s">
        <v>285</v>
      </c>
      <c r="G206" t="s">
        <v>235</v>
      </c>
      <c r="H206" t="s">
        <v>19</v>
      </c>
      <c r="I206" t="s">
        <v>235</v>
      </c>
      <c r="J206" t="s">
        <v>40</v>
      </c>
      <c r="K206" t="s">
        <v>21</v>
      </c>
      <c r="L206" t="s">
        <v>19</v>
      </c>
      <c r="M206">
        <v>0</v>
      </c>
      <c r="N206">
        <v>8</v>
      </c>
      <c r="O206" t="s">
        <v>236</v>
      </c>
      <c r="P206" t="s">
        <v>287</v>
      </c>
    </row>
    <row r="207" spans="1:16" x14ac:dyDescent="0.3">
      <c r="A207">
        <v>265</v>
      </c>
      <c r="B207" t="s">
        <v>294</v>
      </c>
      <c r="C207" t="s">
        <v>409</v>
      </c>
      <c r="D207" s="6">
        <v>40660</v>
      </c>
      <c r="E207" t="s">
        <v>249</v>
      </c>
      <c r="F207" t="s">
        <v>295</v>
      </c>
      <c r="G207" t="s">
        <v>260</v>
      </c>
      <c r="H207" t="s">
        <v>286</v>
      </c>
      <c r="I207" t="s">
        <v>286</v>
      </c>
      <c r="J207" t="s">
        <v>20</v>
      </c>
      <c r="K207" t="s">
        <v>21</v>
      </c>
      <c r="L207" t="s">
        <v>260</v>
      </c>
      <c r="M207">
        <v>55</v>
      </c>
      <c r="N207">
        <v>0</v>
      </c>
      <c r="O207" t="s">
        <v>154</v>
      </c>
      <c r="P207" t="s">
        <v>299</v>
      </c>
    </row>
    <row r="208" spans="1:16" x14ac:dyDescent="0.3">
      <c r="A208">
        <v>266</v>
      </c>
      <c r="B208" t="s">
        <v>35</v>
      </c>
      <c r="C208" t="s">
        <v>409</v>
      </c>
      <c r="D208" s="6">
        <v>40661</v>
      </c>
      <c r="E208" t="s">
        <v>301</v>
      </c>
      <c r="F208" t="s">
        <v>37</v>
      </c>
      <c r="G208" t="s">
        <v>27</v>
      </c>
      <c r="H208" t="s">
        <v>38</v>
      </c>
      <c r="I208" t="s">
        <v>38</v>
      </c>
      <c r="J208" t="s">
        <v>20</v>
      </c>
      <c r="K208" t="s">
        <v>21</v>
      </c>
      <c r="L208" t="s">
        <v>27</v>
      </c>
      <c r="M208">
        <v>17</v>
      </c>
      <c r="N208">
        <v>0</v>
      </c>
      <c r="O208" t="s">
        <v>284</v>
      </c>
      <c r="P208" t="s">
        <v>170</v>
      </c>
    </row>
    <row r="209" spans="1:16" x14ac:dyDescent="0.3">
      <c r="A209">
        <v>267</v>
      </c>
      <c r="B209" t="s">
        <v>47</v>
      </c>
      <c r="C209" t="s">
        <v>409</v>
      </c>
      <c r="D209" s="6">
        <v>40662</v>
      </c>
      <c r="E209" t="s">
        <v>300</v>
      </c>
      <c r="F209" t="s">
        <v>49</v>
      </c>
      <c r="G209" t="s">
        <v>39</v>
      </c>
      <c r="H209" t="s">
        <v>31</v>
      </c>
      <c r="I209" t="s">
        <v>31</v>
      </c>
      <c r="J209" t="s">
        <v>20</v>
      </c>
      <c r="K209" t="s">
        <v>21</v>
      </c>
      <c r="L209" t="s">
        <v>31</v>
      </c>
      <c r="M209">
        <v>0</v>
      </c>
      <c r="N209">
        <v>7</v>
      </c>
      <c r="O209" t="s">
        <v>236</v>
      </c>
      <c r="P209" t="s">
        <v>262</v>
      </c>
    </row>
    <row r="210" spans="1:16" x14ac:dyDescent="0.3">
      <c r="A210">
        <v>268</v>
      </c>
      <c r="B210" t="s">
        <v>105</v>
      </c>
      <c r="C210" t="s">
        <v>409</v>
      </c>
      <c r="D210" s="6">
        <v>40662</v>
      </c>
      <c r="E210" t="s">
        <v>159</v>
      </c>
      <c r="F210" t="s">
        <v>60</v>
      </c>
      <c r="G210" t="s">
        <v>50</v>
      </c>
      <c r="H210" t="s">
        <v>235</v>
      </c>
      <c r="I210" t="s">
        <v>235</v>
      </c>
      <c r="J210" t="s">
        <v>20</v>
      </c>
      <c r="K210" t="s">
        <v>21</v>
      </c>
      <c r="L210" t="s">
        <v>50</v>
      </c>
      <c r="M210">
        <v>26</v>
      </c>
      <c r="N210">
        <v>0</v>
      </c>
      <c r="O210" t="s">
        <v>224</v>
      </c>
      <c r="P210" t="s">
        <v>220</v>
      </c>
    </row>
    <row r="211" spans="1:16" x14ac:dyDescent="0.3">
      <c r="A211">
        <v>269</v>
      </c>
      <c r="B211" t="s">
        <v>294</v>
      </c>
      <c r="C211" t="s">
        <v>409</v>
      </c>
      <c r="D211" s="6">
        <v>40663</v>
      </c>
      <c r="E211" t="s">
        <v>214</v>
      </c>
      <c r="F211" t="s">
        <v>295</v>
      </c>
      <c r="G211" t="s">
        <v>38</v>
      </c>
      <c r="H211" t="s">
        <v>286</v>
      </c>
      <c r="I211" t="s">
        <v>38</v>
      </c>
      <c r="J211" t="s">
        <v>40</v>
      </c>
      <c r="K211" t="s">
        <v>21</v>
      </c>
      <c r="L211" t="s">
        <v>38</v>
      </c>
      <c r="M211">
        <v>38</v>
      </c>
      <c r="N211">
        <v>0</v>
      </c>
      <c r="O211" t="s">
        <v>154</v>
      </c>
      <c r="P211" t="s">
        <v>299</v>
      </c>
    </row>
    <row r="212" spans="1:16" x14ac:dyDescent="0.3">
      <c r="A212">
        <v>270</v>
      </c>
      <c r="B212" t="s">
        <v>24</v>
      </c>
      <c r="C212" t="s">
        <v>409</v>
      </c>
      <c r="D212" s="6">
        <v>40663</v>
      </c>
      <c r="E212" t="s">
        <v>293</v>
      </c>
      <c r="F212" t="s">
        <v>26</v>
      </c>
      <c r="G212" t="s">
        <v>45</v>
      </c>
      <c r="H212" t="s">
        <v>27</v>
      </c>
      <c r="I212" t="s">
        <v>27</v>
      </c>
      <c r="J212" t="s">
        <v>20</v>
      </c>
      <c r="K212" t="s">
        <v>21</v>
      </c>
      <c r="L212" t="s">
        <v>27</v>
      </c>
      <c r="M212">
        <v>0</v>
      </c>
      <c r="N212">
        <v>8</v>
      </c>
      <c r="O212" t="s">
        <v>283</v>
      </c>
      <c r="P212" t="s">
        <v>287</v>
      </c>
    </row>
    <row r="213" spans="1:16" x14ac:dyDescent="0.3">
      <c r="A213">
        <v>271</v>
      </c>
      <c r="B213" t="s">
        <v>47</v>
      </c>
      <c r="C213" t="s">
        <v>409</v>
      </c>
      <c r="D213" s="6">
        <v>40664</v>
      </c>
      <c r="E213" t="s">
        <v>297</v>
      </c>
      <c r="F213" t="s">
        <v>49</v>
      </c>
      <c r="G213" t="s">
        <v>235</v>
      </c>
      <c r="H213" t="s">
        <v>31</v>
      </c>
      <c r="I213" t="s">
        <v>31</v>
      </c>
      <c r="J213" t="s">
        <v>20</v>
      </c>
      <c r="K213" t="s">
        <v>21</v>
      </c>
      <c r="L213" t="s">
        <v>31</v>
      </c>
      <c r="M213">
        <v>0</v>
      </c>
      <c r="N213">
        <v>6</v>
      </c>
      <c r="O213" t="s">
        <v>262</v>
      </c>
      <c r="P213" t="s">
        <v>231</v>
      </c>
    </row>
    <row r="214" spans="1:16" x14ac:dyDescent="0.3">
      <c r="A214">
        <v>272</v>
      </c>
      <c r="B214" t="s">
        <v>98</v>
      </c>
      <c r="C214" t="s">
        <v>409</v>
      </c>
      <c r="D214" s="6">
        <v>40664</v>
      </c>
      <c r="E214" t="s">
        <v>298</v>
      </c>
      <c r="F214" t="s">
        <v>100</v>
      </c>
      <c r="G214" t="s">
        <v>19</v>
      </c>
      <c r="H214" t="s">
        <v>260</v>
      </c>
      <c r="I214" t="s">
        <v>19</v>
      </c>
      <c r="J214" t="s">
        <v>40</v>
      </c>
      <c r="K214" t="s">
        <v>21</v>
      </c>
      <c r="L214" t="s">
        <v>19</v>
      </c>
      <c r="M214">
        <v>19</v>
      </c>
      <c r="N214">
        <v>0</v>
      </c>
      <c r="O214" t="s">
        <v>224</v>
      </c>
      <c r="P214" t="s">
        <v>288</v>
      </c>
    </row>
    <row r="215" spans="1:16" x14ac:dyDescent="0.3">
      <c r="A215">
        <v>273</v>
      </c>
      <c r="B215" t="s">
        <v>15</v>
      </c>
      <c r="C215" t="s">
        <v>409</v>
      </c>
      <c r="D215" s="6">
        <v>40665</v>
      </c>
      <c r="E215" t="s">
        <v>147</v>
      </c>
      <c r="F215" t="s">
        <v>17</v>
      </c>
      <c r="G215" t="s">
        <v>39</v>
      </c>
      <c r="H215" t="s">
        <v>45</v>
      </c>
      <c r="I215" t="s">
        <v>45</v>
      </c>
      <c r="J215" t="s">
        <v>20</v>
      </c>
      <c r="K215" t="s">
        <v>21</v>
      </c>
      <c r="L215" t="s">
        <v>39</v>
      </c>
      <c r="M215">
        <v>23</v>
      </c>
      <c r="N215">
        <v>0</v>
      </c>
      <c r="O215" t="s">
        <v>154</v>
      </c>
      <c r="P215" t="s">
        <v>284</v>
      </c>
    </row>
    <row r="216" spans="1:16" x14ac:dyDescent="0.3">
      <c r="A216">
        <v>274</v>
      </c>
      <c r="B216" t="s">
        <v>35</v>
      </c>
      <c r="C216" t="s">
        <v>409</v>
      </c>
      <c r="D216" s="6">
        <v>40665</v>
      </c>
      <c r="E216" t="s">
        <v>296</v>
      </c>
      <c r="F216" t="s">
        <v>37</v>
      </c>
      <c r="G216" t="s">
        <v>38</v>
      </c>
      <c r="H216" t="s">
        <v>286</v>
      </c>
      <c r="I216" t="s">
        <v>286</v>
      </c>
      <c r="J216" t="s">
        <v>20</v>
      </c>
      <c r="K216" t="s">
        <v>21</v>
      </c>
      <c r="L216" t="s">
        <v>286</v>
      </c>
      <c r="M216">
        <v>0</v>
      </c>
      <c r="N216">
        <v>7</v>
      </c>
      <c r="O216" t="s">
        <v>236</v>
      </c>
      <c r="P216" t="s">
        <v>287</v>
      </c>
    </row>
    <row r="217" spans="1:16" x14ac:dyDescent="0.3">
      <c r="A217">
        <v>275</v>
      </c>
      <c r="B217" t="s">
        <v>53</v>
      </c>
      <c r="C217" t="s">
        <v>409</v>
      </c>
      <c r="D217" s="6">
        <v>40666</v>
      </c>
      <c r="E217" t="s">
        <v>157</v>
      </c>
      <c r="F217" t="s">
        <v>55</v>
      </c>
      <c r="G217" t="s">
        <v>27</v>
      </c>
      <c r="H217" t="s">
        <v>260</v>
      </c>
      <c r="I217" t="s">
        <v>260</v>
      </c>
      <c r="J217" t="s">
        <v>20</v>
      </c>
      <c r="K217" t="s">
        <v>21</v>
      </c>
      <c r="L217" t="s">
        <v>27</v>
      </c>
      <c r="M217">
        <v>20</v>
      </c>
      <c r="N217">
        <v>0</v>
      </c>
      <c r="O217" t="s">
        <v>237</v>
      </c>
      <c r="P217" t="s">
        <v>170</v>
      </c>
    </row>
    <row r="218" spans="1:16" x14ac:dyDescent="0.3">
      <c r="A218">
        <v>276</v>
      </c>
      <c r="B218" t="s">
        <v>98</v>
      </c>
      <c r="C218" t="s">
        <v>409</v>
      </c>
      <c r="D218" s="6">
        <v>40667</v>
      </c>
      <c r="E218" t="s">
        <v>215</v>
      </c>
      <c r="F218" t="s">
        <v>100</v>
      </c>
      <c r="G218" t="s">
        <v>31</v>
      </c>
      <c r="H218" t="s">
        <v>19</v>
      </c>
      <c r="I218" t="s">
        <v>31</v>
      </c>
      <c r="J218" t="s">
        <v>40</v>
      </c>
      <c r="K218" t="s">
        <v>21</v>
      </c>
      <c r="L218" t="s">
        <v>19</v>
      </c>
      <c r="M218">
        <v>0</v>
      </c>
      <c r="N218">
        <v>8</v>
      </c>
      <c r="O218" t="s">
        <v>220</v>
      </c>
      <c r="P218" t="s">
        <v>288</v>
      </c>
    </row>
    <row r="219" spans="1:16" x14ac:dyDescent="0.3">
      <c r="A219">
        <v>277</v>
      </c>
      <c r="B219" t="s">
        <v>15</v>
      </c>
      <c r="C219" t="s">
        <v>409</v>
      </c>
      <c r="D219" s="6">
        <v>40667</v>
      </c>
      <c r="E219" t="s">
        <v>292</v>
      </c>
      <c r="F219" t="s">
        <v>285</v>
      </c>
      <c r="G219" t="s">
        <v>39</v>
      </c>
      <c r="H219" t="s">
        <v>235</v>
      </c>
      <c r="I219" t="s">
        <v>235</v>
      </c>
      <c r="J219" t="s">
        <v>20</v>
      </c>
      <c r="K219" t="s">
        <v>21</v>
      </c>
      <c r="L219" t="s">
        <v>39</v>
      </c>
      <c r="M219">
        <v>21</v>
      </c>
      <c r="N219">
        <v>0</v>
      </c>
      <c r="O219" t="s">
        <v>154</v>
      </c>
      <c r="P219" t="s">
        <v>231</v>
      </c>
    </row>
    <row r="220" spans="1:16" x14ac:dyDescent="0.3">
      <c r="A220">
        <v>278</v>
      </c>
      <c r="B220" t="s">
        <v>294</v>
      </c>
      <c r="C220" t="s">
        <v>409</v>
      </c>
      <c r="D220" s="6">
        <v>40668</v>
      </c>
      <c r="E220" t="s">
        <v>232</v>
      </c>
      <c r="F220" t="s">
        <v>295</v>
      </c>
      <c r="G220" t="s">
        <v>286</v>
      </c>
      <c r="H220" t="s">
        <v>27</v>
      </c>
      <c r="I220" t="s">
        <v>27</v>
      </c>
      <c r="J220" t="s">
        <v>20</v>
      </c>
      <c r="K220" t="s">
        <v>21</v>
      </c>
      <c r="L220" t="s">
        <v>286</v>
      </c>
      <c r="M220">
        <v>17</v>
      </c>
      <c r="N220">
        <v>0</v>
      </c>
      <c r="O220" t="s">
        <v>23</v>
      </c>
      <c r="P220" t="s">
        <v>170</v>
      </c>
    </row>
    <row r="221" spans="1:16" x14ac:dyDescent="0.3">
      <c r="A221">
        <v>279</v>
      </c>
      <c r="B221" t="s">
        <v>53</v>
      </c>
      <c r="C221" t="s">
        <v>409</v>
      </c>
      <c r="D221" s="6">
        <v>40668</v>
      </c>
      <c r="E221" t="s">
        <v>214</v>
      </c>
      <c r="F221" t="s">
        <v>55</v>
      </c>
      <c r="G221" t="s">
        <v>260</v>
      </c>
      <c r="H221" t="s">
        <v>38</v>
      </c>
      <c r="I221" t="s">
        <v>38</v>
      </c>
      <c r="J221" t="s">
        <v>20</v>
      </c>
      <c r="K221" t="s">
        <v>21</v>
      </c>
      <c r="L221" t="s">
        <v>38</v>
      </c>
      <c r="M221">
        <v>0</v>
      </c>
      <c r="N221">
        <v>4</v>
      </c>
      <c r="O221" t="s">
        <v>236</v>
      </c>
      <c r="P221" t="s">
        <v>283</v>
      </c>
    </row>
    <row r="222" spans="1:16" x14ac:dyDescent="0.3">
      <c r="A222">
        <v>280</v>
      </c>
      <c r="B222" t="s">
        <v>105</v>
      </c>
      <c r="C222" t="s">
        <v>409</v>
      </c>
      <c r="D222" s="6">
        <v>40669</v>
      </c>
      <c r="E222" t="s">
        <v>92</v>
      </c>
      <c r="F222" t="s">
        <v>60</v>
      </c>
      <c r="G222" t="s">
        <v>50</v>
      </c>
      <c r="H222" t="s">
        <v>45</v>
      </c>
      <c r="I222" t="s">
        <v>45</v>
      </c>
      <c r="J222" t="s">
        <v>20</v>
      </c>
      <c r="K222" t="s">
        <v>21</v>
      </c>
      <c r="L222" t="s">
        <v>50</v>
      </c>
      <c r="M222">
        <v>85</v>
      </c>
      <c r="N222">
        <v>0</v>
      </c>
      <c r="O222" t="s">
        <v>224</v>
      </c>
      <c r="P222" t="s">
        <v>288</v>
      </c>
    </row>
    <row r="223" spans="1:16" x14ac:dyDescent="0.3">
      <c r="A223">
        <v>281</v>
      </c>
      <c r="B223" t="s">
        <v>24</v>
      </c>
      <c r="C223" t="s">
        <v>409</v>
      </c>
      <c r="D223" s="6">
        <v>40670</v>
      </c>
      <c r="E223" t="s">
        <v>293</v>
      </c>
      <c r="F223" t="s">
        <v>26</v>
      </c>
      <c r="G223" t="s">
        <v>19</v>
      </c>
      <c r="H223" t="s">
        <v>27</v>
      </c>
      <c r="I223" t="s">
        <v>19</v>
      </c>
      <c r="J223" t="s">
        <v>40</v>
      </c>
      <c r="K223" t="s">
        <v>21</v>
      </c>
      <c r="L223" t="s">
        <v>27</v>
      </c>
      <c r="M223">
        <v>10</v>
      </c>
      <c r="N223">
        <v>0</v>
      </c>
      <c r="O223" t="s">
        <v>236</v>
      </c>
      <c r="P223" t="s">
        <v>284</v>
      </c>
    </row>
    <row r="224" spans="1:16" x14ac:dyDescent="0.3">
      <c r="A224">
        <v>282</v>
      </c>
      <c r="B224" t="s">
        <v>15</v>
      </c>
      <c r="C224" t="s">
        <v>409</v>
      </c>
      <c r="D224" s="6">
        <v>40670</v>
      </c>
      <c r="E224" t="s">
        <v>67</v>
      </c>
      <c r="F224" t="s">
        <v>17</v>
      </c>
      <c r="G224" t="s">
        <v>39</v>
      </c>
      <c r="H224" t="s">
        <v>38</v>
      </c>
      <c r="I224" t="s">
        <v>38</v>
      </c>
      <c r="J224" t="s">
        <v>20</v>
      </c>
      <c r="K224" t="s">
        <v>21</v>
      </c>
      <c r="L224" t="s">
        <v>39</v>
      </c>
      <c r="M224">
        <v>32</v>
      </c>
      <c r="N224">
        <v>0</v>
      </c>
      <c r="O224" t="s">
        <v>280</v>
      </c>
      <c r="P224" t="s">
        <v>231</v>
      </c>
    </row>
    <row r="225" spans="1:16" x14ac:dyDescent="0.3">
      <c r="A225">
        <v>283</v>
      </c>
      <c r="B225" t="s">
        <v>105</v>
      </c>
      <c r="C225" t="s">
        <v>409</v>
      </c>
      <c r="D225" s="6">
        <v>40671</v>
      </c>
      <c r="E225" t="s">
        <v>92</v>
      </c>
      <c r="F225" t="s">
        <v>60</v>
      </c>
      <c r="G225" t="s">
        <v>286</v>
      </c>
      <c r="H225" t="s">
        <v>50</v>
      </c>
      <c r="I225" t="s">
        <v>286</v>
      </c>
      <c r="J225" t="s">
        <v>40</v>
      </c>
      <c r="K225" t="s">
        <v>21</v>
      </c>
      <c r="L225" t="s">
        <v>50</v>
      </c>
      <c r="M225">
        <v>0</v>
      </c>
      <c r="N225">
        <v>9</v>
      </c>
      <c r="O225" t="s">
        <v>224</v>
      </c>
      <c r="P225" t="s">
        <v>220</v>
      </c>
    </row>
    <row r="226" spans="1:16" x14ac:dyDescent="0.3">
      <c r="A226">
        <v>284</v>
      </c>
      <c r="B226" t="s">
        <v>123</v>
      </c>
      <c r="C226" t="s">
        <v>409</v>
      </c>
      <c r="D226" s="6">
        <v>40671</v>
      </c>
      <c r="E226" t="s">
        <v>292</v>
      </c>
      <c r="F226" t="s">
        <v>188</v>
      </c>
      <c r="G226" t="s">
        <v>45</v>
      </c>
      <c r="H226" t="s">
        <v>235</v>
      </c>
      <c r="I226" t="s">
        <v>45</v>
      </c>
      <c r="J226" t="s">
        <v>40</v>
      </c>
      <c r="K226" t="s">
        <v>21</v>
      </c>
      <c r="L226" t="s">
        <v>235</v>
      </c>
      <c r="M226">
        <v>0</v>
      </c>
      <c r="N226">
        <v>5</v>
      </c>
      <c r="O226" t="s">
        <v>262</v>
      </c>
      <c r="P226" t="s">
        <v>170</v>
      </c>
    </row>
    <row r="227" spans="1:16" x14ac:dyDescent="0.3">
      <c r="A227">
        <v>285</v>
      </c>
      <c r="B227" t="s">
        <v>47</v>
      </c>
      <c r="C227" t="s">
        <v>409</v>
      </c>
      <c r="D227" s="6">
        <v>40672</v>
      </c>
      <c r="E227" t="s">
        <v>227</v>
      </c>
      <c r="F227" t="s">
        <v>49</v>
      </c>
      <c r="G227" t="s">
        <v>19</v>
      </c>
      <c r="H227" t="s">
        <v>31</v>
      </c>
      <c r="I227" t="s">
        <v>31</v>
      </c>
      <c r="J227" t="s">
        <v>20</v>
      </c>
      <c r="K227" t="s">
        <v>21</v>
      </c>
      <c r="L227" t="s">
        <v>19</v>
      </c>
      <c r="M227">
        <v>63</v>
      </c>
      <c r="N227">
        <v>0</v>
      </c>
      <c r="O227" t="s">
        <v>280</v>
      </c>
      <c r="P227" t="s">
        <v>231</v>
      </c>
    </row>
    <row r="228" spans="1:16" x14ac:dyDescent="0.3">
      <c r="A228">
        <v>286</v>
      </c>
      <c r="B228" t="s">
        <v>53</v>
      </c>
      <c r="C228" t="s">
        <v>409</v>
      </c>
      <c r="D228" s="6">
        <v>40673</v>
      </c>
      <c r="E228" t="s">
        <v>290</v>
      </c>
      <c r="F228" t="s">
        <v>55</v>
      </c>
      <c r="G228" t="s">
        <v>260</v>
      </c>
      <c r="H228" t="s">
        <v>235</v>
      </c>
      <c r="I228" t="s">
        <v>260</v>
      </c>
      <c r="J228" t="s">
        <v>40</v>
      </c>
      <c r="K228" t="s">
        <v>21</v>
      </c>
      <c r="L228" t="s">
        <v>235</v>
      </c>
      <c r="M228">
        <v>0</v>
      </c>
      <c r="N228">
        <v>6</v>
      </c>
      <c r="O228" t="s">
        <v>236</v>
      </c>
      <c r="P228" t="s">
        <v>283</v>
      </c>
    </row>
    <row r="229" spans="1:16" x14ac:dyDescent="0.3">
      <c r="A229">
        <v>287</v>
      </c>
      <c r="B229" t="s">
        <v>123</v>
      </c>
      <c r="C229" t="s">
        <v>409</v>
      </c>
      <c r="D229" s="6">
        <v>40673</v>
      </c>
      <c r="E229" t="s">
        <v>291</v>
      </c>
      <c r="F229" t="s">
        <v>188</v>
      </c>
      <c r="G229" t="s">
        <v>45</v>
      </c>
      <c r="H229" t="s">
        <v>39</v>
      </c>
      <c r="I229" t="s">
        <v>39</v>
      </c>
      <c r="J229" t="s">
        <v>20</v>
      </c>
      <c r="K229" t="s">
        <v>21</v>
      </c>
      <c r="L229" t="s">
        <v>45</v>
      </c>
      <c r="M229">
        <v>76</v>
      </c>
      <c r="N229">
        <v>0</v>
      </c>
      <c r="O229" t="s">
        <v>262</v>
      </c>
      <c r="P229" t="s">
        <v>170</v>
      </c>
    </row>
    <row r="230" spans="1:16" x14ac:dyDescent="0.3">
      <c r="A230">
        <v>288</v>
      </c>
      <c r="B230" t="s">
        <v>47</v>
      </c>
      <c r="C230" t="s">
        <v>409</v>
      </c>
      <c r="D230" s="6">
        <v>40674</v>
      </c>
      <c r="E230" t="s">
        <v>289</v>
      </c>
      <c r="F230" t="s">
        <v>49</v>
      </c>
      <c r="G230" t="s">
        <v>31</v>
      </c>
      <c r="H230" t="s">
        <v>50</v>
      </c>
      <c r="I230" t="s">
        <v>50</v>
      </c>
      <c r="J230" t="s">
        <v>20</v>
      </c>
      <c r="K230" t="s">
        <v>21</v>
      </c>
      <c r="L230" t="s">
        <v>50</v>
      </c>
      <c r="M230">
        <v>0</v>
      </c>
      <c r="N230">
        <v>9</v>
      </c>
      <c r="O230" t="s">
        <v>154</v>
      </c>
      <c r="P230" t="s">
        <v>280</v>
      </c>
    </row>
    <row r="231" spans="1:16" x14ac:dyDescent="0.3">
      <c r="A231">
        <v>289</v>
      </c>
      <c r="B231" t="s">
        <v>98</v>
      </c>
      <c r="C231" t="s">
        <v>409</v>
      </c>
      <c r="D231" s="6">
        <v>40675</v>
      </c>
      <c r="E231" t="s">
        <v>87</v>
      </c>
      <c r="F231" t="s">
        <v>100</v>
      </c>
      <c r="G231" t="s">
        <v>19</v>
      </c>
      <c r="H231" t="s">
        <v>38</v>
      </c>
      <c r="I231" t="s">
        <v>19</v>
      </c>
      <c r="J231" t="s">
        <v>40</v>
      </c>
      <c r="K231" t="s">
        <v>21</v>
      </c>
      <c r="L231" t="s">
        <v>19</v>
      </c>
      <c r="M231">
        <v>18</v>
      </c>
      <c r="N231">
        <v>0</v>
      </c>
      <c r="O231" t="s">
        <v>283</v>
      </c>
      <c r="P231" t="s">
        <v>287</v>
      </c>
    </row>
    <row r="232" spans="1:16" x14ac:dyDescent="0.3">
      <c r="A232">
        <v>290</v>
      </c>
      <c r="B232" t="s">
        <v>64</v>
      </c>
      <c r="C232" t="s">
        <v>409</v>
      </c>
      <c r="D232" s="6">
        <v>40676</v>
      </c>
      <c r="E232" t="s">
        <v>255</v>
      </c>
      <c r="F232" t="s">
        <v>66</v>
      </c>
      <c r="G232" t="s">
        <v>286</v>
      </c>
      <c r="H232" t="s">
        <v>45</v>
      </c>
      <c r="I232" t="s">
        <v>45</v>
      </c>
      <c r="J232" t="s">
        <v>20</v>
      </c>
      <c r="K232" t="s">
        <v>21</v>
      </c>
      <c r="L232" t="s">
        <v>45</v>
      </c>
      <c r="M232">
        <v>0</v>
      </c>
      <c r="N232">
        <v>6</v>
      </c>
      <c r="O232" t="s">
        <v>237</v>
      </c>
      <c r="P232" t="s">
        <v>170</v>
      </c>
    </row>
    <row r="233" spans="1:16" x14ac:dyDescent="0.3">
      <c r="A233">
        <v>291</v>
      </c>
      <c r="B233" t="s">
        <v>105</v>
      </c>
      <c r="C233" t="s">
        <v>409</v>
      </c>
      <c r="D233" s="6">
        <v>40677</v>
      </c>
      <c r="E233" t="s">
        <v>92</v>
      </c>
      <c r="F233" t="s">
        <v>60</v>
      </c>
      <c r="G233" t="s">
        <v>27</v>
      </c>
      <c r="H233" t="s">
        <v>50</v>
      </c>
      <c r="I233" t="s">
        <v>50</v>
      </c>
      <c r="J233" t="s">
        <v>20</v>
      </c>
      <c r="K233" t="s">
        <v>21</v>
      </c>
      <c r="L233" t="s">
        <v>50</v>
      </c>
      <c r="M233">
        <v>0</v>
      </c>
      <c r="N233">
        <v>4</v>
      </c>
      <c r="O233" t="s">
        <v>281</v>
      </c>
      <c r="P233" t="s">
        <v>288</v>
      </c>
    </row>
    <row r="234" spans="1:16" x14ac:dyDescent="0.3">
      <c r="A234">
        <v>292</v>
      </c>
      <c r="B234" t="s">
        <v>15</v>
      </c>
      <c r="C234" t="s">
        <v>409</v>
      </c>
      <c r="D234" s="6">
        <v>40677</v>
      </c>
      <c r="E234" t="s">
        <v>36</v>
      </c>
      <c r="F234" t="s">
        <v>17</v>
      </c>
      <c r="G234" t="s">
        <v>260</v>
      </c>
      <c r="H234" t="s">
        <v>39</v>
      </c>
      <c r="I234" t="s">
        <v>260</v>
      </c>
      <c r="J234" t="s">
        <v>40</v>
      </c>
      <c r="K234" t="s">
        <v>21</v>
      </c>
      <c r="L234" t="s">
        <v>260</v>
      </c>
      <c r="M234">
        <v>10</v>
      </c>
      <c r="N234">
        <v>0</v>
      </c>
      <c r="O234" t="s">
        <v>23</v>
      </c>
      <c r="P234" t="s">
        <v>262</v>
      </c>
    </row>
    <row r="235" spans="1:16" x14ac:dyDescent="0.3">
      <c r="A235">
        <v>293</v>
      </c>
      <c r="B235" t="s">
        <v>238</v>
      </c>
      <c r="C235" t="s">
        <v>409</v>
      </c>
      <c r="D235" s="6">
        <v>40678</v>
      </c>
      <c r="E235" t="s">
        <v>193</v>
      </c>
      <c r="F235" t="s">
        <v>240</v>
      </c>
      <c r="G235" t="s">
        <v>45</v>
      </c>
      <c r="H235" t="s">
        <v>38</v>
      </c>
      <c r="I235" t="s">
        <v>38</v>
      </c>
      <c r="J235" t="s">
        <v>20</v>
      </c>
      <c r="K235" t="s">
        <v>21</v>
      </c>
      <c r="L235" t="s">
        <v>45</v>
      </c>
      <c r="M235">
        <v>29</v>
      </c>
      <c r="N235">
        <v>0</v>
      </c>
      <c r="O235" t="s">
        <v>236</v>
      </c>
      <c r="P235" t="s">
        <v>287</v>
      </c>
    </row>
    <row r="236" spans="1:16" x14ac:dyDescent="0.3">
      <c r="A236">
        <v>294</v>
      </c>
      <c r="B236" t="s">
        <v>64</v>
      </c>
      <c r="C236" t="s">
        <v>409</v>
      </c>
      <c r="D236" s="6">
        <v>40678</v>
      </c>
      <c r="E236" t="s">
        <v>232</v>
      </c>
      <c r="F236" t="s">
        <v>66</v>
      </c>
      <c r="G236" t="s">
        <v>31</v>
      </c>
      <c r="H236" t="s">
        <v>286</v>
      </c>
      <c r="I236" t="s">
        <v>286</v>
      </c>
      <c r="J236" t="s">
        <v>20</v>
      </c>
      <c r="K236" t="s">
        <v>21</v>
      </c>
      <c r="L236" t="s">
        <v>286</v>
      </c>
      <c r="M236">
        <v>0</v>
      </c>
      <c r="N236">
        <v>8</v>
      </c>
      <c r="O236" t="s">
        <v>284</v>
      </c>
      <c r="P236" t="s">
        <v>170</v>
      </c>
    </row>
    <row r="237" spans="1:16" x14ac:dyDescent="0.3">
      <c r="A237">
        <v>295</v>
      </c>
      <c r="B237" t="s">
        <v>15</v>
      </c>
      <c r="C237" t="s">
        <v>409</v>
      </c>
      <c r="D237" s="6">
        <v>40679</v>
      </c>
      <c r="E237" t="s">
        <v>36</v>
      </c>
      <c r="F237" t="s">
        <v>285</v>
      </c>
      <c r="G237" t="s">
        <v>235</v>
      </c>
      <c r="H237" t="s">
        <v>260</v>
      </c>
      <c r="I237" t="s">
        <v>260</v>
      </c>
      <c r="J237" t="s">
        <v>20</v>
      </c>
      <c r="K237" t="s">
        <v>21</v>
      </c>
      <c r="L237" t="s">
        <v>260</v>
      </c>
      <c r="M237">
        <v>0</v>
      </c>
      <c r="N237">
        <v>6</v>
      </c>
      <c r="O237" t="s">
        <v>23</v>
      </c>
      <c r="P237" t="s">
        <v>262</v>
      </c>
    </row>
    <row r="238" spans="1:16" x14ac:dyDescent="0.3">
      <c r="A238">
        <v>296</v>
      </c>
      <c r="B238" t="s">
        <v>238</v>
      </c>
      <c r="C238" t="s">
        <v>409</v>
      </c>
      <c r="D238" s="6">
        <v>40680</v>
      </c>
      <c r="E238" t="s">
        <v>243</v>
      </c>
      <c r="F238" t="s">
        <v>240</v>
      </c>
      <c r="G238" t="s">
        <v>45</v>
      </c>
      <c r="H238" t="s">
        <v>50</v>
      </c>
      <c r="I238" t="s">
        <v>45</v>
      </c>
      <c r="J238" t="s">
        <v>40</v>
      </c>
      <c r="K238" t="s">
        <v>21</v>
      </c>
      <c r="L238" t="s">
        <v>45</v>
      </c>
      <c r="M238">
        <v>111</v>
      </c>
      <c r="N238">
        <v>0</v>
      </c>
      <c r="O238" t="s">
        <v>236</v>
      </c>
      <c r="P238" t="s">
        <v>283</v>
      </c>
    </row>
    <row r="239" spans="1:16" x14ac:dyDescent="0.3">
      <c r="A239">
        <v>297</v>
      </c>
      <c r="B239" t="s">
        <v>98</v>
      </c>
      <c r="C239" t="s">
        <v>409</v>
      </c>
      <c r="D239" s="6">
        <v>40681</v>
      </c>
      <c r="E239" t="s">
        <v>121</v>
      </c>
      <c r="F239" t="s">
        <v>100</v>
      </c>
      <c r="G239" t="s">
        <v>19</v>
      </c>
      <c r="H239" t="s">
        <v>286</v>
      </c>
      <c r="I239" t="s">
        <v>19</v>
      </c>
      <c r="J239" t="s">
        <v>40</v>
      </c>
      <c r="K239" t="s">
        <v>21</v>
      </c>
      <c r="L239" t="s">
        <v>19</v>
      </c>
      <c r="M239">
        <v>11</v>
      </c>
      <c r="N239">
        <v>0</v>
      </c>
      <c r="O239" t="s">
        <v>154</v>
      </c>
      <c r="P239" t="s">
        <v>281</v>
      </c>
    </row>
    <row r="240" spans="1:16" x14ac:dyDescent="0.3">
      <c r="A240">
        <v>298</v>
      </c>
      <c r="B240" t="s">
        <v>15</v>
      </c>
      <c r="C240" t="s">
        <v>409</v>
      </c>
      <c r="D240" s="6">
        <v>40682</v>
      </c>
      <c r="E240" t="s">
        <v>157</v>
      </c>
      <c r="F240" t="s">
        <v>285</v>
      </c>
      <c r="G240" t="s">
        <v>235</v>
      </c>
      <c r="H240" t="s">
        <v>27</v>
      </c>
      <c r="I240" t="s">
        <v>27</v>
      </c>
      <c r="J240" t="s">
        <v>20</v>
      </c>
      <c r="K240" t="s">
        <v>21</v>
      </c>
      <c r="L240" t="s">
        <v>27</v>
      </c>
      <c r="M240">
        <v>0</v>
      </c>
      <c r="N240">
        <v>7</v>
      </c>
      <c r="O240" t="s">
        <v>23</v>
      </c>
      <c r="P240" t="s">
        <v>231</v>
      </c>
    </row>
    <row r="241" spans="1:16" x14ac:dyDescent="0.3">
      <c r="A241">
        <v>299</v>
      </c>
      <c r="B241" t="s">
        <v>15</v>
      </c>
      <c r="C241" t="s">
        <v>409</v>
      </c>
      <c r="D241" s="6">
        <v>40683</v>
      </c>
      <c r="E241" t="s">
        <v>16</v>
      </c>
      <c r="F241" t="s">
        <v>17</v>
      </c>
      <c r="G241" t="s">
        <v>39</v>
      </c>
      <c r="H241" t="s">
        <v>31</v>
      </c>
      <c r="I241" t="s">
        <v>39</v>
      </c>
      <c r="J241" t="s">
        <v>40</v>
      </c>
      <c r="K241" t="s">
        <v>21</v>
      </c>
      <c r="L241" t="s">
        <v>31</v>
      </c>
      <c r="M241">
        <v>0</v>
      </c>
      <c r="N241">
        <v>10</v>
      </c>
      <c r="O241" t="s">
        <v>281</v>
      </c>
      <c r="P241" t="s">
        <v>284</v>
      </c>
    </row>
    <row r="242" spans="1:16" x14ac:dyDescent="0.3">
      <c r="A242">
        <v>300</v>
      </c>
      <c r="B242" t="s">
        <v>238</v>
      </c>
      <c r="C242" t="s">
        <v>409</v>
      </c>
      <c r="D242" s="6">
        <v>40684</v>
      </c>
      <c r="E242" t="s">
        <v>70</v>
      </c>
      <c r="F242" t="s">
        <v>240</v>
      </c>
      <c r="G242" t="s">
        <v>260</v>
      </c>
      <c r="H242" t="s">
        <v>45</v>
      </c>
      <c r="I242" t="s">
        <v>45</v>
      </c>
      <c r="J242" t="s">
        <v>20</v>
      </c>
      <c r="K242" t="s">
        <v>21</v>
      </c>
      <c r="L242" t="s">
        <v>260</v>
      </c>
      <c r="M242">
        <v>82</v>
      </c>
      <c r="N242">
        <v>0</v>
      </c>
      <c r="O242" t="s">
        <v>236</v>
      </c>
      <c r="P242" t="s">
        <v>283</v>
      </c>
    </row>
    <row r="243" spans="1:16" x14ac:dyDescent="0.3">
      <c r="A243">
        <v>301</v>
      </c>
      <c r="B243" t="s">
        <v>35</v>
      </c>
      <c r="C243" t="s">
        <v>409</v>
      </c>
      <c r="D243" s="6">
        <v>40684</v>
      </c>
      <c r="F243" t="s">
        <v>37</v>
      </c>
      <c r="G243" t="s">
        <v>38</v>
      </c>
      <c r="H243" t="s">
        <v>235</v>
      </c>
      <c r="I243" t="s">
        <v>38</v>
      </c>
      <c r="J243" t="s">
        <v>40</v>
      </c>
      <c r="K243" t="s">
        <v>183</v>
      </c>
      <c r="L243" t="s">
        <v>184</v>
      </c>
      <c r="M243">
        <v>0</v>
      </c>
      <c r="N243">
        <v>0</v>
      </c>
      <c r="O243" t="s">
        <v>220</v>
      </c>
      <c r="P243" t="s">
        <v>170</v>
      </c>
    </row>
    <row r="244" spans="1:16" x14ac:dyDescent="0.3">
      <c r="A244">
        <v>302</v>
      </c>
      <c r="B244" t="s">
        <v>105</v>
      </c>
      <c r="C244" t="s">
        <v>409</v>
      </c>
      <c r="D244" s="6">
        <v>40685</v>
      </c>
      <c r="E244" t="s">
        <v>92</v>
      </c>
      <c r="F244" t="s">
        <v>60</v>
      </c>
      <c r="G244" t="s">
        <v>19</v>
      </c>
      <c r="H244" t="s">
        <v>50</v>
      </c>
      <c r="I244" t="s">
        <v>50</v>
      </c>
      <c r="J244" t="s">
        <v>20</v>
      </c>
      <c r="K244" t="s">
        <v>21</v>
      </c>
      <c r="L244" t="s">
        <v>50</v>
      </c>
      <c r="M244">
        <v>0</v>
      </c>
      <c r="N244">
        <v>8</v>
      </c>
      <c r="O244" t="s">
        <v>280</v>
      </c>
      <c r="P244" t="s">
        <v>281</v>
      </c>
    </row>
    <row r="245" spans="1:16" x14ac:dyDescent="0.3">
      <c r="A245">
        <v>303</v>
      </c>
      <c r="B245" t="s">
        <v>24</v>
      </c>
      <c r="C245" t="s">
        <v>409</v>
      </c>
      <c r="D245" s="6">
        <v>40685</v>
      </c>
      <c r="E245" t="s">
        <v>282</v>
      </c>
      <c r="F245" t="s">
        <v>26</v>
      </c>
      <c r="G245" t="s">
        <v>27</v>
      </c>
      <c r="H245" t="s">
        <v>39</v>
      </c>
      <c r="I245" t="s">
        <v>39</v>
      </c>
      <c r="J245" t="s">
        <v>20</v>
      </c>
      <c r="K245" t="s">
        <v>21</v>
      </c>
      <c r="L245" t="s">
        <v>39</v>
      </c>
      <c r="M245">
        <v>0</v>
      </c>
      <c r="N245">
        <v>5</v>
      </c>
      <c r="O245" t="s">
        <v>262</v>
      </c>
      <c r="P245" t="s">
        <v>231</v>
      </c>
    </row>
    <row r="246" spans="1:16" x14ac:dyDescent="0.3">
      <c r="A246">
        <v>304</v>
      </c>
      <c r="B246" t="s">
        <v>15</v>
      </c>
      <c r="C246" t="s">
        <v>409</v>
      </c>
      <c r="D246" s="6">
        <v>40687</v>
      </c>
      <c r="E246" t="s">
        <v>144</v>
      </c>
      <c r="F246" t="s">
        <v>17</v>
      </c>
      <c r="G246" t="s">
        <v>50</v>
      </c>
      <c r="H246" t="s">
        <v>19</v>
      </c>
      <c r="I246" t="s">
        <v>19</v>
      </c>
      <c r="J246" t="s">
        <v>20</v>
      </c>
      <c r="K246" t="s">
        <v>21</v>
      </c>
      <c r="L246" t="s">
        <v>19</v>
      </c>
      <c r="M246">
        <v>0</v>
      </c>
      <c r="N246">
        <v>6</v>
      </c>
      <c r="O246" t="s">
        <v>236</v>
      </c>
      <c r="P246" t="s">
        <v>231</v>
      </c>
    </row>
    <row r="247" spans="1:16" x14ac:dyDescent="0.3">
      <c r="A247">
        <v>305</v>
      </c>
      <c r="B247" t="s">
        <v>15</v>
      </c>
      <c r="C247" t="s">
        <v>409</v>
      </c>
      <c r="D247" s="6">
        <v>40688</v>
      </c>
      <c r="E247" t="s">
        <v>279</v>
      </c>
      <c r="F247" t="s">
        <v>17</v>
      </c>
      <c r="G247" t="s">
        <v>27</v>
      </c>
      <c r="H247" t="s">
        <v>39</v>
      </c>
      <c r="I247" t="s">
        <v>39</v>
      </c>
      <c r="J247" t="s">
        <v>20</v>
      </c>
      <c r="K247" t="s">
        <v>21</v>
      </c>
      <c r="L247" t="s">
        <v>39</v>
      </c>
      <c r="M247">
        <v>0</v>
      </c>
      <c r="N247">
        <v>4</v>
      </c>
      <c r="O247" t="s">
        <v>236</v>
      </c>
      <c r="P247" t="s">
        <v>231</v>
      </c>
    </row>
    <row r="248" spans="1:16" x14ac:dyDescent="0.3">
      <c r="A248">
        <v>306</v>
      </c>
      <c r="B248" t="s">
        <v>98</v>
      </c>
      <c r="C248" t="s">
        <v>409</v>
      </c>
      <c r="D248" s="6">
        <v>40690</v>
      </c>
      <c r="E248" t="s">
        <v>92</v>
      </c>
      <c r="F248" t="s">
        <v>100</v>
      </c>
      <c r="G248" t="s">
        <v>50</v>
      </c>
      <c r="H248" t="s">
        <v>39</v>
      </c>
      <c r="I248" t="s">
        <v>39</v>
      </c>
      <c r="J248" t="s">
        <v>20</v>
      </c>
      <c r="K248" t="s">
        <v>21</v>
      </c>
      <c r="L248" t="s">
        <v>50</v>
      </c>
      <c r="M248">
        <v>43</v>
      </c>
      <c r="N248">
        <v>0</v>
      </c>
      <c r="O248" t="s">
        <v>236</v>
      </c>
      <c r="P248" t="s">
        <v>231</v>
      </c>
    </row>
    <row r="249" spans="1:16" x14ac:dyDescent="0.3">
      <c r="A249">
        <v>307</v>
      </c>
      <c r="B249" t="s">
        <v>98</v>
      </c>
      <c r="C249" t="s">
        <v>409</v>
      </c>
      <c r="D249" s="6">
        <v>40691</v>
      </c>
      <c r="E249" t="s">
        <v>227</v>
      </c>
      <c r="F249" t="s">
        <v>100</v>
      </c>
      <c r="G249" t="s">
        <v>19</v>
      </c>
      <c r="H249" t="s">
        <v>50</v>
      </c>
      <c r="I249" t="s">
        <v>19</v>
      </c>
      <c r="J249" t="s">
        <v>40</v>
      </c>
      <c r="K249" t="s">
        <v>21</v>
      </c>
      <c r="L249" t="s">
        <v>19</v>
      </c>
      <c r="M249">
        <v>58</v>
      </c>
      <c r="N249">
        <v>0</v>
      </c>
      <c r="O249" t="s">
        <v>236</v>
      </c>
      <c r="P249" t="s">
        <v>231</v>
      </c>
    </row>
    <row r="250" spans="1:16" x14ac:dyDescent="0.3">
      <c r="A250">
        <v>308</v>
      </c>
      <c r="B250" t="s">
        <v>98</v>
      </c>
      <c r="C250" t="s">
        <v>407</v>
      </c>
      <c r="D250" s="6">
        <v>41003</v>
      </c>
      <c r="E250" t="s">
        <v>278</v>
      </c>
      <c r="F250" t="s">
        <v>100</v>
      </c>
      <c r="G250" t="s">
        <v>19</v>
      </c>
      <c r="H250" t="s">
        <v>39</v>
      </c>
      <c r="I250" t="s">
        <v>39</v>
      </c>
      <c r="J250" t="s">
        <v>20</v>
      </c>
      <c r="K250" t="s">
        <v>21</v>
      </c>
      <c r="L250" t="s">
        <v>39</v>
      </c>
      <c r="M250">
        <v>0</v>
      </c>
      <c r="N250">
        <v>8</v>
      </c>
      <c r="O250" t="s">
        <v>191</v>
      </c>
      <c r="P250" t="s">
        <v>231</v>
      </c>
    </row>
    <row r="251" spans="1:16" x14ac:dyDescent="0.3">
      <c r="A251">
        <v>309</v>
      </c>
      <c r="B251" t="s">
        <v>24</v>
      </c>
      <c r="C251" t="s">
        <v>407</v>
      </c>
      <c r="D251" s="6">
        <v>41004</v>
      </c>
      <c r="E251" t="s">
        <v>277</v>
      </c>
      <c r="F251" t="s">
        <v>26</v>
      </c>
      <c r="G251" t="s">
        <v>27</v>
      </c>
      <c r="H251" t="s">
        <v>38</v>
      </c>
      <c r="I251" t="s">
        <v>38</v>
      </c>
      <c r="J251" t="s">
        <v>20</v>
      </c>
      <c r="K251" t="s">
        <v>21</v>
      </c>
      <c r="L251" t="s">
        <v>38</v>
      </c>
      <c r="M251">
        <v>0</v>
      </c>
      <c r="N251">
        <v>8</v>
      </c>
      <c r="O251" t="s">
        <v>237</v>
      </c>
      <c r="P251" t="s">
        <v>154</v>
      </c>
    </row>
    <row r="252" spans="1:16" x14ac:dyDescent="0.3">
      <c r="A252">
        <v>310</v>
      </c>
      <c r="B252" t="s">
        <v>15</v>
      </c>
      <c r="C252" t="s">
        <v>407</v>
      </c>
      <c r="D252" s="6">
        <v>41005</v>
      </c>
      <c r="E252" t="s">
        <v>151</v>
      </c>
      <c r="F252" t="s">
        <v>17</v>
      </c>
      <c r="G252" t="s">
        <v>235</v>
      </c>
      <c r="H252" t="s">
        <v>39</v>
      </c>
      <c r="I252" t="s">
        <v>39</v>
      </c>
      <c r="J252" t="s">
        <v>20</v>
      </c>
      <c r="K252" t="s">
        <v>21</v>
      </c>
      <c r="L252" t="s">
        <v>235</v>
      </c>
      <c r="M252">
        <v>28</v>
      </c>
      <c r="N252">
        <v>0</v>
      </c>
      <c r="O252" t="s">
        <v>108</v>
      </c>
      <c r="P252" t="s">
        <v>231</v>
      </c>
    </row>
    <row r="253" spans="1:16" x14ac:dyDescent="0.3">
      <c r="A253">
        <v>311</v>
      </c>
      <c r="B253" t="s">
        <v>47</v>
      </c>
      <c r="C253" t="s">
        <v>407</v>
      </c>
      <c r="D253" s="6">
        <v>41005</v>
      </c>
      <c r="E253" t="s">
        <v>171</v>
      </c>
      <c r="F253" t="s">
        <v>49</v>
      </c>
      <c r="G253" t="s">
        <v>31</v>
      </c>
      <c r="H253" t="s">
        <v>45</v>
      </c>
      <c r="I253" t="s">
        <v>45</v>
      </c>
      <c r="J253" t="s">
        <v>20</v>
      </c>
      <c r="K253" t="s">
        <v>21</v>
      </c>
      <c r="L253" t="s">
        <v>31</v>
      </c>
      <c r="M253">
        <v>31</v>
      </c>
      <c r="N253">
        <v>0</v>
      </c>
      <c r="O253" t="s">
        <v>225</v>
      </c>
      <c r="P253" t="s">
        <v>262</v>
      </c>
    </row>
    <row r="254" spans="1:16" x14ac:dyDescent="0.3">
      <c r="A254">
        <v>312</v>
      </c>
      <c r="B254" t="s">
        <v>105</v>
      </c>
      <c r="C254" t="s">
        <v>407</v>
      </c>
      <c r="D254" s="6">
        <v>41006</v>
      </c>
      <c r="E254" t="s">
        <v>59</v>
      </c>
      <c r="F254" t="s">
        <v>60</v>
      </c>
      <c r="G254" t="s">
        <v>50</v>
      </c>
      <c r="H254" t="s">
        <v>38</v>
      </c>
      <c r="I254" t="s">
        <v>38</v>
      </c>
      <c r="J254" t="s">
        <v>20</v>
      </c>
      <c r="K254" t="s">
        <v>21</v>
      </c>
      <c r="L254" t="s">
        <v>50</v>
      </c>
      <c r="M254">
        <v>20</v>
      </c>
      <c r="N254">
        <v>0</v>
      </c>
      <c r="O254" t="s">
        <v>237</v>
      </c>
      <c r="P254" t="s">
        <v>23</v>
      </c>
    </row>
    <row r="255" spans="1:16" x14ac:dyDescent="0.3">
      <c r="A255">
        <v>313</v>
      </c>
      <c r="B255" t="s">
        <v>161</v>
      </c>
      <c r="C255" t="s">
        <v>407</v>
      </c>
      <c r="D255" s="6">
        <v>41006</v>
      </c>
      <c r="E255" t="s">
        <v>77</v>
      </c>
      <c r="F255" t="s">
        <v>162</v>
      </c>
      <c r="G255" t="s">
        <v>19</v>
      </c>
      <c r="H255" t="s">
        <v>260</v>
      </c>
      <c r="I255" t="s">
        <v>260</v>
      </c>
      <c r="J255" t="s">
        <v>20</v>
      </c>
      <c r="K255" t="s">
        <v>21</v>
      </c>
      <c r="L255" t="s">
        <v>19</v>
      </c>
      <c r="M255">
        <v>74</v>
      </c>
      <c r="N255">
        <v>0</v>
      </c>
      <c r="O255" t="s">
        <v>191</v>
      </c>
      <c r="P255" t="s">
        <v>154</v>
      </c>
    </row>
    <row r="256" spans="1:16" x14ac:dyDescent="0.3">
      <c r="A256">
        <v>314</v>
      </c>
      <c r="B256" t="s">
        <v>47</v>
      </c>
      <c r="C256" t="s">
        <v>407</v>
      </c>
      <c r="D256" s="6">
        <v>41007</v>
      </c>
      <c r="E256" t="s">
        <v>232</v>
      </c>
      <c r="F256" t="s">
        <v>49</v>
      </c>
      <c r="G256" t="s">
        <v>31</v>
      </c>
      <c r="H256" t="s">
        <v>27</v>
      </c>
      <c r="I256" t="s">
        <v>27</v>
      </c>
      <c r="J256" t="s">
        <v>20</v>
      </c>
      <c r="K256" t="s">
        <v>21</v>
      </c>
      <c r="L256" t="s">
        <v>31</v>
      </c>
      <c r="M256">
        <v>22</v>
      </c>
      <c r="N256">
        <v>0</v>
      </c>
      <c r="O256" t="s">
        <v>225</v>
      </c>
      <c r="P256" t="s">
        <v>178</v>
      </c>
    </row>
    <row r="257" spans="1:16" x14ac:dyDescent="0.3">
      <c r="A257">
        <v>315</v>
      </c>
      <c r="B257" t="s">
        <v>42</v>
      </c>
      <c r="C257" t="s">
        <v>407</v>
      </c>
      <c r="D257" s="6">
        <v>41007</v>
      </c>
      <c r="E257" t="s">
        <v>276</v>
      </c>
      <c r="F257" t="s">
        <v>234</v>
      </c>
      <c r="G257" t="s">
        <v>235</v>
      </c>
      <c r="H257" t="s">
        <v>45</v>
      </c>
      <c r="I257" t="s">
        <v>235</v>
      </c>
      <c r="J257" t="s">
        <v>40</v>
      </c>
      <c r="K257" t="s">
        <v>21</v>
      </c>
      <c r="L257" t="s">
        <v>235</v>
      </c>
      <c r="M257">
        <v>22</v>
      </c>
      <c r="N257">
        <v>0</v>
      </c>
      <c r="O257" t="s">
        <v>245</v>
      </c>
      <c r="P257" t="s">
        <v>231</v>
      </c>
    </row>
    <row r="258" spans="1:16" x14ac:dyDescent="0.3">
      <c r="A258">
        <v>316</v>
      </c>
      <c r="B258" t="s">
        <v>161</v>
      </c>
      <c r="C258" t="s">
        <v>407</v>
      </c>
      <c r="D258" s="6">
        <v>41008</v>
      </c>
      <c r="E258" t="s">
        <v>83</v>
      </c>
      <c r="F258" t="s">
        <v>162</v>
      </c>
      <c r="G258" t="s">
        <v>260</v>
      </c>
      <c r="H258" t="s">
        <v>39</v>
      </c>
      <c r="I258" t="s">
        <v>260</v>
      </c>
      <c r="J258" t="s">
        <v>40</v>
      </c>
      <c r="K258" t="s">
        <v>21</v>
      </c>
      <c r="L258" t="s">
        <v>39</v>
      </c>
      <c r="M258">
        <v>0</v>
      </c>
      <c r="N258">
        <v>5</v>
      </c>
      <c r="O258" t="s">
        <v>108</v>
      </c>
      <c r="P258" t="s">
        <v>191</v>
      </c>
    </row>
    <row r="259" spans="1:16" x14ac:dyDescent="0.3">
      <c r="A259">
        <v>317</v>
      </c>
      <c r="B259" t="s">
        <v>105</v>
      </c>
      <c r="C259" t="s">
        <v>407</v>
      </c>
      <c r="D259" s="6">
        <v>41009</v>
      </c>
      <c r="E259" t="s">
        <v>275</v>
      </c>
      <c r="F259" t="s">
        <v>60</v>
      </c>
      <c r="G259" t="s">
        <v>27</v>
      </c>
      <c r="H259" t="s">
        <v>50</v>
      </c>
      <c r="I259" t="s">
        <v>50</v>
      </c>
      <c r="J259" t="s">
        <v>20</v>
      </c>
      <c r="K259" t="s">
        <v>21</v>
      </c>
      <c r="L259" t="s">
        <v>27</v>
      </c>
      <c r="M259">
        <v>42</v>
      </c>
      <c r="N259">
        <v>0</v>
      </c>
      <c r="O259" t="s">
        <v>23</v>
      </c>
      <c r="P259" t="s">
        <v>170</v>
      </c>
    </row>
    <row r="260" spans="1:16" x14ac:dyDescent="0.3">
      <c r="A260">
        <v>318</v>
      </c>
      <c r="B260" t="s">
        <v>35</v>
      </c>
      <c r="C260" t="s">
        <v>407</v>
      </c>
      <c r="D260" s="6">
        <v>41009</v>
      </c>
      <c r="E260" t="s">
        <v>212</v>
      </c>
      <c r="F260" t="s">
        <v>37</v>
      </c>
      <c r="G260" t="s">
        <v>19</v>
      </c>
      <c r="H260" t="s">
        <v>38</v>
      </c>
      <c r="I260" t="s">
        <v>38</v>
      </c>
      <c r="J260" t="s">
        <v>20</v>
      </c>
      <c r="K260" t="s">
        <v>21</v>
      </c>
      <c r="L260" t="s">
        <v>38</v>
      </c>
      <c r="M260">
        <v>0</v>
      </c>
      <c r="N260">
        <v>8</v>
      </c>
      <c r="O260" t="s">
        <v>236</v>
      </c>
      <c r="P260" t="s">
        <v>262</v>
      </c>
    </row>
    <row r="261" spans="1:16" x14ac:dyDescent="0.3">
      <c r="A261">
        <v>319</v>
      </c>
      <c r="B261" t="s">
        <v>15</v>
      </c>
      <c r="C261" t="s">
        <v>407</v>
      </c>
      <c r="D261" s="6">
        <v>41010</v>
      </c>
      <c r="E261" t="s">
        <v>147</v>
      </c>
      <c r="F261" t="s">
        <v>17</v>
      </c>
      <c r="G261" t="s">
        <v>39</v>
      </c>
      <c r="H261" t="s">
        <v>31</v>
      </c>
      <c r="I261" t="s">
        <v>31</v>
      </c>
      <c r="J261" t="s">
        <v>20</v>
      </c>
      <c r="K261" t="s">
        <v>21</v>
      </c>
      <c r="L261" t="s">
        <v>39</v>
      </c>
      <c r="M261">
        <v>27</v>
      </c>
      <c r="N261">
        <v>0</v>
      </c>
      <c r="O261" t="s">
        <v>224</v>
      </c>
      <c r="P261" t="s">
        <v>155</v>
      </c>
    </row>
    <row r="262" spans="1:16" x14ac:dyDescent="0.3">
      <c r="A262">
        <v>320</v>
      </c>
      <c r="B262" t="s">
        <v>98</v>
      </c>
      <c r="C262" t="s">
        <v>407</v>
      </c>
      <c r="D262" s="6">
        <v>41011</v>
      </c>
      <c r="E262" t="s">
        <v>33</v>
      </c>
      <c r="F262" t="s">
        <v>100</v>
      </c>
      <c r="G262" t="s">
        <v>50</v>
      </c>
      <c r="H262" t="s">
        <v>19</v>
      </c>
      <c r="I262" t="s">
        <v>50</v>
      </c>
      <c r="J262" t="s">
        <v>40</v>
      </c>
      <c r="K262" t="s">
        <v>21</v>
      </c>
      <c r="L262" t="s">
        <v>19</v>
      </c>
      <c r="M262">
        <v>0</v>
      </c>
      <c r="N262">
        <v>5</v>
      </c>
      <c r="O262" t="s">
        <v>154</v>
      </c>
      <c r="P262" t="s">
        <v>170</v>
      </c>
    </row>
    <row r="263" spans="1:16" x14ac:dyDescent="0.3">
      <c r="A263">
        <v>321</v>
      </c>
      <c r="B263" t="s">
        <v>123</v>
      </c>
      <c r="C263" t="s">
        <v>407</v>
      </c>
      <c r="D263" s="6">
        <v>41011</v>
      </c>
      <c r="E263" t="s">
        <v>274</v>
      </c>
      <c r="F263" t="s">
        <v>188</v>
      </c>
      <c r="G263" t="s">
        <v>235</v>
      </c>
      <c r="H263" t="s">
        <v>45</v>
      </c>
      <c r="I263" t="s">
        <v>45</v>
      </c>
      <c r="J263" t="s">
        <v>20</v>
      </c>
      <c r="K263" t="s">
        <v>21</v>
      </c>
      <c r="L263" t="s">
        <v>45</v>
      </c>
      <c r="M263">
        <v>0</v>
      </c>
      <c r="N263">
        <v>7</v>
      </c>
      <c r="O263" t="s">
        <v>178</v>
      </c>
      <c r="P263" t="s">
        <v>262</v>
      </c>
    </row>
    <row r="264" spans="1:16" x14ac:dyDescent="0.3">
      <c r="A264">
        <v>322</v>
      </c>
      <c r="B264" t="s">
        <v>24</v>
      </c>
      <c r="C264" t="s">
        <v>407</v>
      </c>
      <c r="D264" s="6">
        <v>41012</v>
      </c>
      <c r="E264" t="s">
        <v>261</v>
      </c>
      <c r="F264" t="s">
        <v>26</v>
      </c>
      <c r="G264" t="s">
        <v>31</v>
      </c>
      <c r="H264" t="s">
        <v>27</v>
      </c>
      <c r="I264" t="s">
        <v>31</v>
      </c>
      <c r="J264" t="s">
        <v>40</v>
      </c>
      <c r="K264" t="s">
        <v>21</v>
      </c>
      <c r="L264" t="s">
        <v>27</v>
      </c>
      <c r="M264">
        <v>0</v>
      </c>
      <c r="N264">
        <v>5</v>
      </c>
      <c r="O264" t="s">
        <v>236</v>
      </c>
      <c r="P264" t="s">
        <v>237</v>
      </c>
    </row>
    <row r="265" spans="1:16" x14ac:dyDescent="0.3">
      <c r="A265">
        <v>323</v>
      </c>
      <c r="B265" t="s">
        <v>35</v>
      </c>
      <c r="C265" t="s">
        <v>407</v>
      </c>
      <c r="D265" s="6">
        <v>41018</v>
      </c>
      <c r="E265" t="s">
        <v>270</v>
      </c>
      <c r="F265" t="s">
        <v>37</v>
      </c>
      <c r="G265" t="s">
        <v>260</v>
      </c>
      <c r="H265" t="s">
        <v>38</v>
      </c>
      <c r="I265" t="s">
        <v>260</v>
      </c>
      <c r="J265" t="s">
        <v>40</v>
      </c>
      <c r="K265" t="s">
        <v>21</v>
      </c>
      <c r="L265" t="s">
        <v>38</v>
      </c>
      <c r="M265">
        <v>0</v>
      </c>
      <c r="N265">
        <v>5</v>
      </c>
      <c r="O265" t="s">
        <v>225</v>
      </c>
      <c r="P265" t="s">
        <v>262</v>
      </c>
    </row>
    <row r="266" spans="1:16" x14ac:dyDescent="0.3">
      <c r="A266">
        <v>324</v>
      </c>
      <c r="B266" t="s">
        <v>42</v>
      </c>
      <c r="C266" t="s">
        <v>407</v>
      </c>
      <c r="D266" s="6">
        <v>41013</v>
      </c>
      <c r="E266" t="s">
        <v>273</v>
      </c>
      <c r="F266" t="s">
        <v>234</v>
      </c>
      <c r="G266" t="s">
        <v>19</v>
      </c>
      <c r="H266" t="s">
        <v>235</v>
      </c>
      <c r="I266" t="s">
        <v>19</v>
      </c>
      <c r="J266" t="s">
        <v>40</v>
      </c>
      <c r="K266" t="s">
        <v>21</v>
      </c>
      <c r="L266" t="s">
        <v>235</v>
      </c>
      <c r="M266">
        <v>0</v>
      </c>
      <c r="N266">
        <v>7</v>
      </c>
      <c r="O266" t="s">
        <v>224</v>
      </c>
      <c r="P266" t="s">
        <v>155</v>
      </c>
    </row>
    <row r="267" spans="1:16" x14ac:dyDescent="0.3">
      <c r="A267">
        <v>325</v>
      </c>
      <c r="B267" t="s">
        <v>24</v>
      </c>
      <c r="C267" t="s">
        <v>407</v>
      </c>
      <c r="D267" s="6">
        <v>41014</v>
      </c>
      <c r="E267" t="s">
        <v>69</v>
      </c>
      <c r="F267" t="s">
        <v>26</v>
      </c>
      <c r="G267" t="s">
        <v>45</v>
      </c>
      <c r="H267" t="s">
        <v>27</v>
      </c>
      <c r="I267" t="s">
        <v>27</v>
      </c>
      <c r="J267" t="s">
        <v>20</v>
      </c>
      <c r="K267" t="s">
        <v>21</v>
      </c>
      <c r="L267" t="s">
        <v>45</v>
      </c>
      <c r="M267">
        <v>2</v>
      </c>
      <c r="N267">
        <v>0</v>
      </c>
      <c r="O267" t="s">
        <v>236</v>
      </c>
      <c r="P267" t="s">
        <v>237</v>
      </c>
    </row>
    <row r="268" spans="1:16" x14ac:dyDescent="0.3">
      <c r="A268">
        <v>326</v>
      </c>
      <c r="B268" t="s">
        <v>105</v>
      </c>
      <c r="C268" t="s">
        <v>407</v>
      </c>
      <c r="D268" s="6">
        <v>41014</v>
      </c>
      <c r="E268" t="s">
        <v>171</v>
      </c>
      <c r="F268" t="s">
        <v>60</v>
      </c>
      <c r="G268" t="s">
        <v>31</v>
      </c>
      <c r="H268" t="s">
        <v>50</v>
      </c>
      <c r="I268" t="s">
        <v>31</v>
      </c>
      <c r="J268" t="s">
        <v>40</v>
      </c>
      <c r="K268" t="s">
        <v>21</v>
      </c>
      <c r="L268" t="s">
        <v>31</v>
      </c>
      <c r="M268">
        <v>59</v>
      </c>
      <c r="N268">
        <v>0</v>
      </c>
      <c r="O268" t="s">
        <v>191</v>
      </c>
      <c r="P268" t="s">
        <v>170</v>
      </c>
    </row>
    <row r="269" spans="1:16" x14ac:dyDescent="0.3">
      <c r="A269">
        <v>327</v>
      </c>
      <c r="B269" t="s">
        <v>15</v>
      </c>
      <c r="C269" t="s">
        <v>407</v>
      </c>
      <c r="D269" s="6">
        <v>41015</v>
      </c>
      <c r="E269" t="s">
        <v>272</v>
      </c>
      <c r="F269" t="s">
        <v>17</v>
      </c>
      <c r="G269" t="s">
        <v>39</v>
      </c>
      <c r="H269" t="s">
        <v>38</v>
      </c>
      <c r="I269" t="s">
        <v>38</v>
      </c>
      <c r="J269" t="s">
        <v>20</v>
      </c>
      <c r="K269" t="s">
        <v>21</v>
      </c>
      <c r="L269" t="s">
        <v>38</v>
      </c>
      <c r="M269">
        <v>0</v>
      </c>
      <c r="N269">
        <v>7</v>
      </c>
      <c r="O269" t="s">
        <v>225</v>
      </c>
      <c r="P269" t="s">
        <v>262</v>
      </c>
    </row>
    <row r="270" spans="1:16" x14ac:dyDescent="0.3">
      <c r="A270">
        <v>328</v>
      </c>
      <c r="B270" t="s">
        <v>47</v>
      </c>
      <c r="C270" t="s">
        <v>407</v>
      </c>
      <c r="D270" s="6">
        <v>41016</v>
      </c>
      <c r="E270" t="s">
        <v>232</v>
      </c>
      <c r="F270" t="s">
        <v>49</v>
      </c>
      <c r="G270" t="s">
        <v>260</v>
      </c>
      <c r="H270" t="s">
        <v>31</v>
      </c>
      <c r="I270" t="s">
        <v>260</v>
      </c>
      <c r="J270" t="s">
        <v>40</v>
      </c>
      <c r="K270" t="s">
        <v>21</v>
      </c>
      <c r="L270" t="s">
        <v>31</v>
      </c>
      <c r="M270">
        <v>0</v>
      </c>
      <c r="N270">
        <v>5</v>
      </c>
      <c r="O270" t="s">
        <v>224</v>
      </c>
      <c r="P270" t="s">
        <v>155</v>
      </c>
    </row>
    <row r="271" spans="1:16" x14ac:dyDescent="0.3">
      <c r="A271">
        <v>329</v>
      </c>
      <c r="B271" t="s">
        <v>105</v>
      </c>
      <c r="C271" t="s">
        <v>407</v>
      </c>
      <c r="D271" s="6">
        <v>41016</v>
      </c>
      <c r="E271" t="s">
        <v>92</v>
      </c>
      <c r="F271" t="s">
        <v>60</v>
      </c>
      <c r="G271" t="s">
        <v>235</v>
      </c>
      <c r="H271" t="s">
        <v>50</v>
      </c>
      <c r="I271" t="s">
        <v>235</v>
      </c>
      <c r="J271" t="s">
        <v>40</v>
      </c>
      <c r="K271" t="s">
        <v>21</v>
      </c>
      <c r="L271" t="s">
        <v>50</v>
      </c>
      <c r="M271">
        <v>0</v>
      </c>
      <c r="N271">
        <v>6</v>
      </c>
      <c r="O271" t="s">
        <v>237</v>
      </c>
      <c r="P271" t="s">
        <v>245</v>
      </c>
    </row>
    <row r="272" spans="1:16" x14ac:dyDescent="0.3">
      <c r="A272">
        <v>330</v>
      </c>
      <c r="B272" t="s">
        <v>123</v>
      </c>
      <c r="C272" t="s">
        <v>407</v>
      </c>
      <c r="D272" s="6">
        <v>41017</v>
      </c>
      <c r="E272" t="s">
        <v>139</v>
      </c>
      <c r="F272" t="s">
        <v>188</v>
      </c>
      <c r="G272" t="s">
        <v>45</v>
      </c>
      <c r="H272" t="s">
        <v>27</v>
      </c>
      <c r="I272" t="s">
        <v>45</v>
      </c>
      <c r="J272" t="s">
        <v>40</v>
      </c>
      <c r="K272" t="s">
        <v>21</v>
      </c>
      <c r="L272" t="s">
        <v>27</v>
      </c>
      <c r="M272">
        <v>0</v>
      </c>
      <c r="N272">
        <v>8</v>
      </c>
      <c r="O272" t="s">
        <v>191</v>
      </c>
      <c r="P272" t="s">
        <v>170</v>
      </c>
    </row>
    <row r="273" spans="1:16" x14ac:dyDescent="0.3">
      <c r="A273">
        <v>331</v>
      </c>
      <c r="B273" t="s">
        <v>53</v>
      </c>
      <c r="C273" t="s">
        <v>407</v>
      </c>
      <c r="D273" s="6">
        <v>41039</v>
      </c>
      <c r="E273" t="s">
        <v>134</v>
      </c>
      <c r="F273" t="s">
        <v>55</v>
      </c>
      <c r="G273" t="s">
        <v>260</v>
      </c>
      <c r="H273" t="s">
        <v>38</v>
      </c>
      <c r="I273" t="s">
        <v>260</v>
      </c>
      <c r="J273" t="s">
        <v>40</v>
      </c>
      <c r="K273" t="s">
        <v>21</v>
      </c>
      <c r="L273" t="s">
        <v>38</v>
      </c>
      <c r="M273">
        <v>0</v>
      </c>
      <c r="N273">
        <v>9</v>
      </c>
      <c r="O273" t="s">
        <v>191</v>
      </c>
      <c r="P273" t="s">
        <v>231</v>
      </c>
    </row>
    <row r="274" spans="1:16" x14ac:dyDescent="0.3">
      <c r="A274">
        <v>332</v>
      </c>
      <c r="B274" t="s">
        <v>98</v>
      </c>
      <c r="C274" t="s">
        <v>407</v>
      </c>
      <c r="D274" s="6">
        <v>41018</v>
      </c>
      <c r="E274" t="s">
        <v>271</v>
      </c>
      <c r="F274" t="s">
        <v>100</v>
      </c>
      <c r="G274" t="s">
        <v>19</v>
      </c>
      <c r="H274" t="s">
        <v>235</v>
      </c>
      <c r="I274" t="s">
        <v>235</v>
      </c>
      <c r="J274" t="s">
        <v>20</v>
      </c>
      <c r="K274" t="s">
        <v>21</v>
      </c>
      <c r="L274" t="s">
        <v>19</v>
      </c>
      <c r="M274">
        <v>13</v>
      </c>
      <c r="N274">
        <v>0</v>
      </c>
      <c r="O274" t="s">
        <v>236</v>
      </c>
      <c r="P274" t="s">
        <v>245</v>
      </c>
    </row>
    <row r="275" spans="1:16" x14ac:dyDescent="0.3">
      <c r="A275">
        <v>333</v>
      </c>
      <c r="B275" t="s">
        <v>123</v>
      </c>
      <c r="C275" t="s">
        <v>407</v>
      </c>
      <c r="D275" s="6">
        <v>41019</v>
      </c>
      <c r="E275" t="s">
        <v>92</v>
      </c>
      <c r="F275" t="s">
        <v>188</v>
      </c>
      <c r="G275" t="s">
        <v>45</v>
      </c>
      <c r="H275" t="s">
        <v>50</v>
      </c>
      <c r="I275" t="s">
        <v>50</v>
      </c>
      <c r="J275" t="s">
        <v>20</v>
      </c>
      <c r="K275" t="s">
        <v>21</v>
      </c>
      <c r="L275" t="s">
        <v>50</v>
      </c>
      <c r="M275">
        <v>0</v>
      </c>
      <c r="N275">
        <v>5</v>
      </c>
      <c r="O275" t="s">
        <v>23</v>
      </c>
      <c r="P275" t="s">
        <v>170</v>
      </c>
    </row>
    <row r="276" spans="1:16" x14ac:dyDescent="0.3">
      <c r="A276">
        <v>334</v>
      </c>
      <c r="B276" t="s">
        <v>98</v>
      </c>
      <c r="C276" t="s">
        <v>407</v>
      </c>
      <c r="D276" s="6">
        <v>41020</v>
      </c>
      <c r="E276" t="s">
        <v>33</v>
      </c>
      <c r="F276" t="s">
        <v>100</v>
      </c>
      <c r="G276" t="s">
        <v>31</v>
      </c>
      <c r="H276" t="s">
        <v>19</v>
      </c>
      <c r="I276" t="s">
        <v>31</v>
      </c>
      <c r="J276" t="s">
        <v>40</v>
      </c>
      <c r="K276" t="s">
        <v>21</v>
      </c>
      <c r="L276" t="s">
        <v>19</v>
      </c>
      <c r="M276">
        <v>0</v>
      </c>
      <c r="N276">
        <v>7</v>
      </c>
      <c r="O276" t="s">
        <v>224</v>
      </c>
      <c r="P276" t="s">
        <v>155</v>
      </c>
    </row>
    <row r="277" spans="1:16" x14ac:dyDescent="0.3">
      <c r="A277">
        <v>335</v>
      </c>
      <c r="B277" t="s">
        <v>35</v>
      </c>
      <c r="C277" t="s">
        <v>407</v>
      </c>
      <c r="D277" s="6">
        <v>41020</v>
      </c>
      <c r="E277" t="s">
        <v>269</v>
      </c>
      <c r="F277" t="s">
        <v>37</v>
      </c>
      <c r="G277" t="s">
        <v>235</v>
      </c>
      <c r="H277" t="s">
        <v>38</v>
      </c>
      <c r="I277" t="s">
        <v>38</v>
      </c>
      <c r="J277" t="s">
        <v>20</v>
      </c>
      <c r="K277" t="s">
        <v>21</v>
      </c>
      <c r="L277" t="s">
        <v>235</v>
      </c>
      <c r="M277">
        <v>20</v>
      </c>
      <c r="N277">
        <v>0</v>
      </c>
      <c r="O277" t="s">
        <v>236</v>
      </c>
      <c r="P277" t="s">
        <v>245</v>
      </c>
    </row>
    <row r="278" spans="1:16" x14ac:dyDescent="0.3">
      <c r="A278">
        <v>336</v>
      </c>
      <c r="B278" t="s">
        <v>15</v>
      </c>
      <c r="C278" t="s">
        <v>407</v>
      </c>
      <c r="D278" s="6">
        <v>41021</v>
      </c>
      <c r="E278" t="s">
        <v>206</v>
      </c>
      <c r="F278" t="s">
        <v>17</v>
      </c>
      <c r="G278" t="s">
        <v>39</v>
      </c>
      <c r="H278" t="s">
        <v>45</v>
      </c>
      <c r="I278" t="s">
        <v>39</v>
      </c>
      <c r="J278" t="s">
        <v>40</v>
      </c>
      <c r="K278" t="s">
        <v>21</v>
      </c>
      <c r="L278" t="s">
        <v>45</v>
      </c>
      <c r="M278">
        <v>0</v>
      </c>
      <c r="N278">
        <v>6</v>
      </c>
      <c r="O278" t="s">
        <v>23</v>
      </c>
      <c r="P278" t="s">
        <v>170</v>
      </c>
    </row>
    <row r="279" spans="1:16" x14ac:dyDescent="0.3">
      <c r="A279">
        <v>337</v>
      </c>
      <c r="B279" t="s">
        <v>216</v>
      </c>
      <c r="C279" t="s">
        <v>407</v>
      </c>
      <c r="D279" s="6">
        <v>41021</v>
      </c>
      <c r="E279" t="s">
        <v>268</v>
      </c>
      <c r="F279" t="s">
        <v>217</v>
      </c>
      <c r="G279" t="s">
        <v>260</v>
      </c>
      <c r="H279" t="s">
        <v>27</v>
      </c>
      <c r="I279" t="s">
        <v>27</v>
      </c>
      <c r="J279" t="s">
        <v>20</v>
      </c>
      <c r="K279" t="s">
        <v>21</v>
      </c>
      <c r="L279" t="s">
        <v>27</v>
      </c>
      <c r="M279">
        <v>0</v>
      </c>
      <c r="N279">
        <v>5</v>
      </c>
      <c r="O279" t="s">
        <v>225</v>
      </c>
      <c r="P279" t="s">
        <v>262</v>
      </c>
    </row>
    <row r="280" spans="1:16" x14ac:dyDescent="0.3">
      <c r="A280">
        <v>338</v>
      </c>
      <c r="B280" t="s">
        <v>47</v>
      </c>
      <c r="C280" t="s">
        <v>407</v>
      </c>
      <c r="D280" s="6">
        <v>41022</v>
      </c>
      <c r="E280" t="s">
        <v>59</v>
      </c>
      <c r="F280" t="s">
        <v>49</v>
      </c>
      <c r="G280" t="s">
        <v>50</v>
      </c>
      <c r="H280" t="s">
        <v>31</v>
      </c>
      <c r="I280" t="s">
        <v>31</v>
      </c>
      <c r="J280" t="s">
        <v>20</v>
      </c>
      <c r="K280" t="s">
        <v>21</v>
      </c>
      <c r="L280" t="s">
        <v>50</v>
      </c>
      <c r="M280">
        <v>46</v>
      </c>
      <c r="N280">
        <v>0</v>
      </c>
      <c r="O280" t="s">
        <v>236</v>
      </c>
      <c r="P280" t="s">
        <v>237</v>
      </c>
    </row>
    <row r="281" spans="1:16" x14ac:dyDescent="0.3">
      <c r="A281">
        <v>339</v>
      </c>
      <c r="B281" t="s">
        <v>42</v>
      </c>
      <c r="C281" t="s">
        <v>407</v>
      </c>
      <c r="D281" s="6">
        <v>41023</v>
      </c>
      <c r="E281" t="s">
        <v>214</v>
      </c>
      <c r="F281" t="s">
        <v>234</v>
      </c>
      <c r="G281" t="s">
        <v>235</v>
      </c>
      <c r="H281" t="s">
        <v>38</v>
      </c>
      <c r="I281" t="s">
        <v>235</v>
      </c>
      <c r="J281" t="s">
        <v>40</v>
      </c>
      <c r="K281" t="s">
        <v>21</v>
      </c>
      <c r="L281" t="s">
        <v>38</v>
      </c>
      <c r="M281">
        <v>0</v>
      </c>
      <c r="N281">
        <v>8</v>
      </c>
      <c r="O281" t="s">
        <v>23</v>
      </c>
      <c r="P281" t="s">
        <v>170</v>
      </c>
    </row>
    <row r="282" spans="1:16" x14ac:dyDescent="0.3">
      <c r="A282">
        <v>340</v>
      </c>
      <c r="B282" t="s">
        <v>123</v>
      </c>
      <c r="C282" t="s">
        <v>407</v>
      </c>
      <c r="D282" s="6">
        <v>41024</v>
      </c>
      <c r="E282" t="s">
        <v>67</v>
      </c>
      <c r="F282" t="s">
        <v>188</v>
      </c>
      <c r="G282" t="s">
        <v>45</v>
      </c>
      <c r="H282" t="s">
        <v>39</v>
      </c>
      <c r="I282" t="s">
        <v>45</v>
      </c>
      <c r="J282" t="s">
        <v>40</v>
      </c>
      <c r="K282" t="s">
        <v>21</v>
      </c>
      <c r="L282" t="s">
        <v>39</v>
      </c>
      <c r="M282">
        <v>0</v>
      </c>
      <c r="N282">
        <v>4</v>
      </c>
      <c r="O282" t="s">
        <v>224</v>
      </c>
      <c r="P282" t="s">
        <v>155</v>
      </c>
    </row>
    <row r="283" spans="1:16" x14ac:dyDescent="0.3">
      <c r="A283">
        <v>341</v>
      </c>
      <c r="B283" t="s">
        <v>42</v>
      </c>
      <c r="C283" t="s">
        <v>407</v>
      </c>
      <c r="D283" s="6">
        <v>41025</v>
      </c>
      <c r="E283" t="s">
        <v>267</v>
      </c>
      <c r="F283" t="s">
        <v>234</v>
      </c>
      <c r="G283" t="s">
        <v>260</v>
      </c>
      <c r="H283" t="s">
        <v>235</v>
      </c>
      <c r="I283" t="s">
        <v>260</v>
      </c>
      <c r="J283" t="s">
        <v>40</v>
      </c>
      <c r="K283" t="s">
        <v>21</v>
      </c>
      <c r="L283" t="s">
        <v>260</v>
      </c>
      <c r="M283">
        <v>18</v>
      </c>
      <c r="N283">
        <v>0</v>
      </c>
      <c r="O283" t="s">
        <v>23</v>
      </c>
      <c r="P283" t="s">
        <v>170</v>
      </c>
    </row>
    <row r="284" spans="1:16" x14ac:dyDescent="0.3">
      <c r="A284">
        <v>342</v>
      </c>
      <c r="B284" t="s">
        <v>35</v>
      </c>
      <c r="C284" t="s">
        <v>407</v>
      </c>
      <c r="D284" s="6">
        <v>41026</v>
      </c>
      <c r="E284" t="s">
        <v>214</v>
      </c>
      <c r="F284" t="s">
        <v>37</v>
      </c>
      <c r="G284" t="s">
        <v>38</v>
      </c>
      <c r="H284" t="s">
        <v>39</v>
      </c>
      <c r="I284" t="s">
        <v>39</v>
      </c>
      <c r="J284" t="s">
        <v>20</v>
      </c>
      <c r="K284" t="s">
        <v>21</v>
      </c>
      <c r="L284" t="s">
        <v>38</v>
      </c>
      <c r="M284">
        <v>37</v>
      </c>
      <c r="N284">
        <v>0</v>
      </c>
      <c r="O284" t="s">
        <v>224</v>
      </c>
      <c r="P284" t="s">
        <v>155</v>
      </c>
    </row>
    <row r="285" spans="1:16" x14ac:dyDescent="0.3">
      <c r="A285">
        <v>343</v>
      </c>
      <c r="B285" t="s">
        <v>98</v>
      </c>
      <c r="C285" t="s">
        <v>407</v>
      </c>
      <c r="D285" s="6">
        <v>41027</v>
      </c>
      <c r="E285" t="s">
        <v>196</v>
      </c>
      <c r="F285" t="s">
        <v>100</v>
      </c>
      <c r="G285" t="s">
        <v>45</v>
      </c>
      <c r="H285" t="s">
        <v>19</v>
      </c>
      <c r="I285" t="s">
        <v>45</v>
      </c>
      <c r="J285" t="s">
        <v>40</v>
      </c>
      <c r="K285" t="s">
        <v>21</v>
      </c>
      <c r="L285" t="s">
        <v>45</v>
      </c>
      <c r="M285">
        <v>7</v>
      </c>
      <c r="N285">
        <v>0</v>
      </c>
      <c r="O285" t="s">
        <v>225</v>
      </c>
      <c r="P285" t="s">
        <v>262</v>
      </c>
    </row>
    <row r="286" spans="1:16" x14ac:dyDescent="0.3">
      <c r="A286">
        <v>344</v>
      </c>
      <c r="B286" t="s">
        <v>24</v>
      </c>
      <c r="C286" t="s">
        <v>407</v>
      </c>
      <c r="D286" s="6">
        <v>41027</v>
      </c>
      <c r="E286" t="s">
        <v>139</v>
      </c>
      <c r="F286" t="s">
        <v>26</v>
      </c>
      <c r="G286" t="s">
        <v>27</v>
      </c>
      <c r="H286" t="s">
        <v>50</v>
      </c>
      <c r="I286" t="s">
        <v>27</v>
      </c>
      <c r="J286" t="s">
        <v>40</v>
      </c>
      <c r="K286" t="s">
        <v>21</v>
      </c>
      <c r="L286" t="s">
        <v>27</v>
      </c>
      <c r="M286">
        <v>47</v>
      </c>
      <c r="N286">
        <v>0</v>
      </c>
      <c r="O286" t="s">
        <v>236</v>
      </c>
      <c r="P286" t="s">
        <v>259</v>
      </c>
    </row>
    <row r="287" spans="1:16" x14ac:dyDescent="0.3">
      <c r="A287">
        <v>345</v>
      </c>
      <c r="B287" t="s">
        <v>35</v>
      </c>
      <c r="C287" t="s">
        <v>407</v>
      </c>
      <c r="D287" s="6">
        <v>41028</v>
      </c>
      <c r="E287" t="s">
        <v>214</v>
      </c>
      <c r="F287" t="s">
        <v>37</v>
      </c>
      <c r="G287" t="s">
        <v>38</v>
      </c>
      <c r="H287" t="s">
        <v>31</v>
      </c>
      <c r="I287" t="s">
        <v>38</v>
      </c>
      <c r="J287" t="s">
        <v>40</v>
      </c>
      <c r="K287" t="s">
        <v>21</v>
      </c>
      <c r="L287" t="s">
        <v>38</v>
      </c>
      <c r="M287">
        <v>1</v>
      </c>
      <c r="N287">
        <v>0</v>
      </c>
      <c r="O287" t="s">
        <v>23</v>
      </c>
      <c r="P287" t="s">
        <v>170</v>
      </c>
    </row>
    <row r="288" spans="1:16" x14ac:dyDescent="0.3">
      <c r="A288">
        <v>346</v>
      </c>
      <c r="B288" t="s">
        <v>15</v>
      </c>
      <c r="C288" t="s">
        <v>407</v>
      </c>
      <c r="D288" s="6">
        <v>41028</v>
      </c>
      <c r="E288" t="s">
        <v>218</v>
      </c>
      <c r="F288" t="s">
        <v>17</v>
      </c>
      <c r="G288" t="s">
        <v>260</v>
      </c>
      <c r="H288" t="s">
        <v>39</v>
      </c>
      <c r="I288" t="s">
        <v>39</v>
      </c>
      <c r="J288" t="s">
        <v>20</v>
      </c>
      <c r="K288" t="s">
        <v>21</v>
      </c>
      <c r="L288" t="s">
        <v>39</v>
      </c>
      <c r="M288">
        <v>0</v>
      </c>
      <c r="N288">
        <v>5</v>
      </c>
      <c r="O288" t="s">
        <v>108</v>
      </c>
      <c r="P288" t="s">
        <v>155</v>
      </c>
    </row>
    <row r="289" spans="1:16" x14ac:dyDescent="0.3">
      <c r="A289">
        <v>347</v>
      </c>
      <c r="B289" t="s">
        <v>98</v>
      </c>
      <c r="C289" t="s">
        <v>407</v>
      </c>
      <c r="D289" s="6">
        <v>41029</v>
      </c>
      <c r="E289" t="s">
        <v>139</v>
      </c>
      <c r="F289" t="s">
        <v>100</v>
      </c>
      <c r="G289" t="s">
        <v>19</v>
      </c>
      <c r="H289" t="s">
        <v>27</v>
      </c>
      <c r="I289" t="s">
        <v>19</v>
      </c>
      <c r="J289" t="s">
        <v>40</v>
      </c>
      <c r="K289" t="s">
        <v>21</v>
      </c>
      <c r="L289" t="s">
        <v>27</v>
      </c>
      <c r="M289">
        <v>0</v>
      </c>
      <c r="N289">
        <v>5</v>
      </c>
      <c r="O289" t="s">
        <v>225</v>
      </c>
      <c r="P289" t="s">
        <v>34</v>
      </c>
    </row>
    <row r="290" spans="1:16" x14ac:dyDescent="0.3">
      <c r="A290">
        <v>348</v>
      </c>
      <c r="B290" t="s">
        <v>216</v>
      </c>
      <c r="C290" t="s">
        <v>407</v>
      </c>
      <c r="D290" s="6">
        <v>41030</v>
      </c>
      <c r="E290" t="s">
        <v>266</v>
      </c>
      <c r="F290" t="s">
        <v>217</v>
      </c>
      <c r="G290" t="s">
        <v>260</v>
      </c>
      <c r="H290" t="s">
        <v>235</v>
      </c>
      <c r="I290" t="s">
        <v>260</v>
      </c>
      <c r="J290" t="s">
        <v>40</v>
      </c>
      <c r="K290" t="s">
        <v>21</v>
      </c>
      <c r="L290" t="s">
        <v>260</v>
      </c>
      <c r="M290">
        <v>13</v>
      </c>
      <c r="N290">
        <v>0</v>
      </c>
      <c r="O290" t="s">
        <v>224</v>
      </c>
      <c r="P290" t="s">
        <v>108</v>
      </c>
    </row>
    <row r="291" spans="1:16" x14ac:dyDescent="0.3">
      <c r="A291">
        <v>349</v>
      </c>
      <c r="B291" t="s">
        <v>47</v>
      </c>
      <c r="C291" t="s">
        <v>407</v>
      </c>
      <c r="D291" s="6">
        <v>41030</v>
      </c>
      <c r="E291" t="s">
        <v>187</v>
      </c>
      <c r="F291" t="s">
        <v>49</v>
      </c>
      <c r="G291" t="s">
        <v>31</v>
      </c>
      <c r="H291" t="s">
        <v>38</v>
      </c>
      <c r="I291" t="s">
        <v>31</v>
      </c>
      <c r="J291" t="s">
        <v>40</v>
      </c>
      <c r="K291" t="s">
        <v>21</v>
      </c>
      <c r="L291" t="s">
        <v>38</v>
      </c>
      <c r="M291">
        <v>0</v>
      </c>
      <c r="N291">
        <v>6</v>
      </c>
      <c r="O291" t="s">
        <v>191</v>
      </c>
      <c r="P291" t="s">
        <v>231</v>
      </c>
    </row>
    <row r="292" spans="1:16" x14ac:dyDescent="0.3">
      <c r="A292">
        <v>350</v>
      </c>
      <c r="B292" t="s">
        <v>105</v>
      </c>
      <c r="C292" t="s">
        <v>407</v>
      </c>
      <c r="D292" s="6">
        <v>41031</v>
      </c>
      <c r="E292" t="s">
        <v>239</v>
      </c>
      <c r="F292" t="s">
        <v>60</v>
      </c>
      <c r="G292" t="s">
        <v>50</v>
      </c>
      <c r="H292" t="s">
        <v>45</v>
      </c>
      <c r="I292" t="s">
        <v>45</v>
      </c>
      <c r="J292" t="s">
        <v>20</v>
      </c>
      <c r="K292" t="s">
        <v>21</v>
      </c>
      <c r="L292" t="s">
        <v>45</v>
      </c>
      <c r="M292">
        <v>0</v>
      </c>
      <c r="N292">
        <v>4</v>
      </c>
      <c r="O292" t="s">
        <v>225</v>
      </c>
      <c r="P292" t="s">
        <v>34</v>
      </c>
    </row>
    <row r="293" spans="1:16" x14ac:dyDescent="0.3">
      <c r="A293">
        <v>351</v>
      </c>
      <c r="B293" t="s">
        <v>42</v>
      </c>
      <c r="C293" t="s">
        <v>407</v>
      </c>
      <c r="D293" s="6">
        <v>41032</v>
      </c>
      <c r="E293" t="s">
        <v>200</v>
      </c>
      <c r="F293" t="s">
        <v>234</v>
      </c>
      <c r="G293" t="s">
        <v>39</v>
      </c>
      <c r="H293" t="s">
        <v>235</v>
      </c>
      <c r="I293" t="s">
        <v>39</v>
      </c>
      <c r="J293" t="s">
        <v>40</v>
      </c>
      <c r="K293" t="s">
        <v>21</v>
      </c>
      <c r="L293" t="s">
        <v>39</v>
      </c>
      <c r="M293">
        <v>1</v>
      </c>
      <c r="N293">
        <v>0</v>
      </c>
      <c r="O293" t="s">
        <v>236</v>
      </c>
      <c r="P293" t="s">
        <v>237</v>
      </c>
    </row>
    <row r="294" spans="1:16" x14ac:dyDescent="0.3">
      <c r="A294">
        <v>352</v>
      </c>
      <c r="B294" t="s">
        <v>98</v>
      </c>
      <c r="C294" t="s">
        <v>407</v>
      </c>
      <c r="D294" s="6">
        <v>41033</v>
      </c>
      <c r="E294" t="s">
        <v>144</v>
      </c>
      <c r="F294" t="s">
        <v>100</v>
      </c>
      <c r="G294" t="s">
        <v>19</v>
      </c>
      <c r="H294" t="s">
        <v>260</v>
      </c>
      <c r="I294" t="s">
        <v>19</v>
      </c>
      <c r="J294" t="s">
        <v>40</v>
      </c>
      <c r="K294" t="s">
        <v>21</v>
      </c>
      <c r="L294" t="s">
        <v>19</v>
      </c>
      <c r="M294">
        <v>10</v>
      </c>
      <c r="N294">
        <v>0</v>
      </c>
      <c r="O294" t="s">
        <v>154</v>
      </c>
      <c r="P294" t="s">
        <v>155</v>
      </c>
    </row>
    <row r="295" spans="1:16" x14ac:dyDescent="0.3">
      <c r="A295">
        <v>353</v>
      </c>
      <c r="B295" t="s">
        <v>24</v>
      </c>
      <c r="C295" t="s">
        <v>407</v>
      </c>
      <c r="D295" s="6">
        <v>41034</v>
      </c>
      <c r="E295" t="s">
        <v>69</v>
      </c>
      <c r="F295" t="s">
        <v>26</v>
      </c>
      <c r="G295" t="s">
        <v>27</v>
      </c>
      <c r="H295" t="s">
        <v>235</v>
      </c>
      <c r="I295" t="s">
        <v>27</v>
      </c>
      <c r="J295" t="s">
        <v>40</v>
      </c>
      <c r="K295" t="s">
        <v>21</v>
      </c>
      <c r="L295" t="s">
        <v>27</v>
      </c>
      <c r="M295">
        <v>7</v>
      </c>
      <c r="N295">
        <v>0</v>
      </c>
      <c r="O295" t="s">
        <v>225</v>
      </c>
      <c r="P295" t="s">
        <v>262</v>
      </c>
    </row>
    <row r="296" spans="1:16" x14ac:dyDescent="0.3">
      <c r="A296">
        <v>354</v>
      </c>
      <c r="B296" t="s">
        <v>123</v>
      </c>
      <c r="C296" t="s">
        <v>407</v>
      </c>
      <c r="D296" s="6">
        <v>41034</v>
      </c>
      <c r="E296" t="s">
        <v>16</v>
      </c>
      <c r="F296" t="s">
        <v>188</v>
      </c>
      <c r="G296" t="s">
        <v>31</v>
      </c>
      <c r="H296" t="s">
        <v>45</v>
      </c>
      <c r="I296" t="s">
        <v>31</v>
      </c>
      <c r="J296" t="s">
        <v>40</v>
      </c>
      <c r="K296" t="s">
        <v>21</v>
      </c>
      <c r="L296" t="s">
        <v>31</v>
      </c>
      <c r="M296">
        <v>43</v>
      </c>
      <c r="N296">
        <v>0</v>
      </c>
      <c r="O296" t="s">
        <v>191</v>
      </c>
      <c r="P296" t="s">
        <v>231</v>
      </c>
    </row>
    <row r="297" spans="1:16" x14ac:dyDescent="0.3">
      <c r="A297">
        <v>355</v>
      </c>
      <c r="B297" t="s">
        <v>15</v>
      </c>
      <c r="C297" t="s">
        <v>407</v>
      </c>
      <c r="D297" s="6">
        <v>41035</v>
      </c>
      <c r="E297" t="s">
        <v>126</v>
      </c>
      <c r="F297" t="s">
        <v>17</v>
      </c>
      <c r="G297" t="s">
        <v>19</v>
      </c>
      <c r="H297" t="s">
        <v>39</v>
      </c>
      <c r="I297" t="s">
        <v>39</v>
      </c>
      <c r="J297" t="s">
        <v>20</v>
      </c>
      <c r="K297" t="s">
        <v>21</v>
      </c>
      <c r="L297" t="s">
        <v>39</v>
      </c>
      <c r="M297">
        <v>0</v>
      </c>
      <c r="N297">
        <v>2</v>
      </c>
      <c r="O297" t="s">
        <v>236</v>
      </c>
      <c r="P297" t="s">
        <v>237</v>
      </c>
    </row>
    <row r="298" spans="1:16" x14ac:dyDescent="0.3">
      <c r="A298">
        <v>356</v>
      </c>
      <c r="B298" t="s">
        <v>105</v>
      </c>
      <c r="C298" t="s">
        <v>407</v>
      </c>
      <c r="D298" s="6">
        <v>41035</v>
      </c>
      <c r="E298" t="s">
        <v>59</v>
      </c>
      <c r="F298" t="s">
        <v>60</v>
      </c>
      <c r="G298" t="s">
        <v>260</v>
      </c>
      <c r="H298" t="s">
        <v>50</v>
      </c>
      <c r="I298" t="s">
        <v>50</v>
      </c>
      <c r="J298" t="s">
        <v>20</v>
      </c>
      <c r="K298" t="s">
        <v>21</v>
      </c>
      <c r="L298" t="s">
        <v>50</v>
      </c>
      <c r="M298">
        <v>0</v>
      </c>
      <c r="N298">
        <v>5</v>
      </c>
      <c r="O298" t="s">
        <v>154</v>
      </c>
      <c r="P298" t="s">
        <v>155</v>
      </c>
    </row>
    <row r="299" spans="1:16" x14ac:dyDescent="0.3">
      <c r="A299">
        <v>357</v>
      </c>
      <c r="B299" t="s">
        <v>35</v>
      </c>
      <c r="C299" t="s">
        <v>407</v>
      </c>
      <c r="D299" s="6">
        <v>41036</v>
      </c>
      <c r="E299" t="s">
        <v>230</v>
      </c>
      <c r="F299" t="s">
        <v>37</v>
      </c>
      <c r="G299" t="s">
        <v>38</v>
      </c>
      <c r="H299" t="s">
        <v>27</v>
      </c>
      <c r="I299" t="s">
        <v>38</v>
      </c>
      <c r="J299" t="s">
        <v>40</v>
      </c>
      <c r="K299" t="s">
        <v>21</v>
      </c>
      <c r="L299" t="s">
        <v>27</v>
      </c>
      <c r="M299">
        <v>0</v>
      </c>
      <c r="N299">
        <v>6</v>
      </c>
      <c r="O299" t="s">
        <v>191</v>
      </c>
      <c r="P299" t="s">
        <v>23</v>
      </c>
    </row>
    <row r="300" spans="1:16" x14ac:dyDescent="0.3">
      <c r="A300">
        <v>358</v>
      </c>
      <c r="B300" t="s">
        <v>42</v>
      </c>
      <c r="C300" t="s">
        <v>407</v>
      </c>
      <c r="D300" s="6">
        <v>41037</v>
      </c>
      <c r="E300" t="s">
        <v>16</v>
      </c>
      <c r="F300" t="s">
        <v>234</v>
      </c>
      <c r="G300" t="s">
        <v>235</v>
      </c>
      <c r="H300" t="s">
        <v>31</v>
      </c>
      <c r="I300" t="s">
        <v>235</v>
      </c>
      <c r="J300" t="s">
        <v>40</v>
      </c>
      <c r="K300" t="s">
        <v>21</v>
      </c>
      <c r="L300" t="s">
        <v>31</v>
      </c>
      <c r="M300">
        <v>0</v>
      </c>
      <c r="N300">
        <v>7</v>
      </c>
      <c r="O300" t="s">
        <v>236</v>
      </c>
      <c r="P300" t="s">
        <v>259</v>
      </c>
    </row>
    <row r="301" spans="1:16" x14ac:dyDescent="0.3">
      <c r="A301">
        <v>359</v>
      </c>
      <c r="B301" t="s">
        <v>53</v>
      </c>
      <c r="C301" t="s">
        <v>407</v>
      </c>
      <c r="D301" s="6">
        <v>41037</v>
      </c>
      <c r="E301" t="s">
        <v>196</v>
      </c>
      <c r="F301" t="s">
        <v>55</v>
      </c>
      <c r="G301" t="s">
        <v>45</v>
      </c>
      <c r="H301" t="s">
        <v>260</v>
      </c>
      <c r="I301" t="s">
        <v>260</v>
      </c>
      <c r="J301" t="s">
        <v>20</v>
      </c>
      <c r="K301" t="s">
        <v>21</v>
      </c>
      <c r="L301" t="s">
        <v>45</v>
      </c>
      <c r="M301">
        <v>25</v>
      </c>
      <c r="N301">
        <v>0</v>
      </c>
      <c r="O301" t="s">
        <v>154</v>
      </c>
      <c r="P301" t="s">
        <v>155</v>
      </c>
    </row>
    <row r="302" spans="1:16" x14ac:dyDescent="0.3">
      <c r="A302">
        <v>360</v>
      </c>
      <c r="B302" t="s">
        <v>15</v>
      </c>
      <c r="C302" t="s">
        <v>407</v>
      </c>
      <c r="D302" s="6">
        <v>41038</v>
      </c>
      <c r="E302" t="s">
        <v>92</v>
      </c>
      <c r="F302" t="s">
        <v>17</v>
      </c>
      <c r="G302" t="s">
        <v>39</v>
      </c>
      <c r="H302" t="s">
        <v>50</v>
      </c>
      <c r="I302" t="s">
        <v>50</v>
      </c>
      <c r="J302" t="s">
        <v>20</v>
      </c>
      <c r="K302" t="s">
        <v>21</v>
      </c>
      <c r="L302" t="s">
        <v>50</v>
      </c>
      <c r="M302">
        <v>0</v>
      </c>
      <c r="N302">
        <v>9</v>
      </c>
      <c r="O302" t="s">
        <v>225</v>
      </c>
      <c r="P302" t="s">
        <v>178</v>
      </c>
    </row>
    <row r="303" spans="1:16" x14ac:dyDescent="0.3">
      <c r="A303">
        <v>361</v>
      </c>
      <c r="B303" t="s">
        <v>47</v>
      </c>
      <c r="C303" t="s">
        <v>407</v>
      </c>
      <c r="D303" s="6">
        <v>41039</v>
      </c>
      <c r="E303" t="s">
        <v>265</v>
      </c>
      <c r="F303" t="s">
        <v>49</v>
      </c>
      <c r="G303" t="s">
        <v>31</v>
      </c>
      <c r="H303" t="s">
        <v>19</v>
      </c>
      <c r="I303" t="s">
        <v>19</v>
      </c>
      <c r="J303" t="s">
        <v>20</v>
      </c>
      <c r="K303" t="s">
        <v>21</v>
      </c>
      <c r="L303" t="s">
        <v>19</v>
      </c>
      <c r="M303">
        <v>0</v>
      </c>
      <c r="N303">
        <v>4</v>
      </c>
      <c r="O303" t="s">
        <v>155</v>
      </c>
      <c r="P303" t="s">
        <v>34</v>
      </c>
    </row>
    <row r="304" spans="1:16" x14ac:dyDescent="0.3">
      <c r="A304">
        <v>362</v>
      </c>
      <c r="B304" t="s">
        <v>42</v>
      </c>
      <c r="C304" t="s">
        <v>407</v>
      </c>
      <c r="D304" s="6">
        <v>41040</v>
      </c>
      <c r="E304" t="s">
        <v>92</v>
      </c>
      <c r="F304" t="s">
        <v>234</v>
      </c>
      <c r="G304" t="s">
        <v>50</v>
      </c>
      <c r="H304" t="s">
        <v>235</v>
      </c>
      <c r="I304" t="s">
        <v>235</v>
      </c>
      <c r="J304" t="s">
        <v>20</v>
      </c>
      <c r="K304" t="s">
        <v>21</v>
      </c>
      <c r="L304" t="s">
        <v>50</v>
      </c>
      <c r="M304">
        <v>35</v>
      </c>
      <c r="N304">
        <v>0</v>
      </c>
      <c r="O304" t="s">
        <v>225</v>
      </c>
      <c r="P304" t="s">
        <v>262</v>
      </c>
    </row>
    <row r="305" spans="1:16" x14ac:dyDescent="0.3">
      <c r="A305">
        <v>363</v>
      </c>
      <c r="B305" t="s">
        <v>24</v>
      </c>
      <c r="C305" t="s">
        <v>407</v>
      </c>
      <c r="D305" s="6">
        <v>41041</v>
      </c>
      <c r="E305" t="s">
        <v>83</v>
      </c>
      <c r="F305" t="s">
        <v>26</v>
      </c>
      <c r="G305" t="s">
        <v>39</v>
      </c>
      <c r="H305" t="s">
        <v>27</v>
      </c>
      <c r="I305" t="s">
        <v>39</v>
      </c>
      <c r="J305" t="s">
        <v>40</v>
      </c>
      <c r="K305" t="s">
        <v>21</v>
      </c>
      <c r="L305" t="s">
        <v>39</v>
      </c>
      <c r="M305">
        <v>27</v>
      </c>
      <c r="N305">
        <v>0</v>
      </c>
      <c r="O305" t="s">
        <v>23</v>
      </c>
      <c r="P305" t="s">
        <v>231</v>
      </c>
    </row>
    <row r="306" spans="1:16" x14ac:dyDescent="0.3">
      <c r="A306">
        <v>364</v>
      </c>
      <c r="B306" t="s">
        <v>98</v>
      </c>
      <c r="C306" t="s">
        <v>407</v>
      </c>
      <c r="D306" s="6">
        <v>41041</v>
      </c>
      <c r="E306" t="s">
        <v>265</v>
      </c>
      <c r="F306" t="s">
        <v>100</v>
      </c>
      <c r="G306" t="s">
        <v>38</v>
      </c>
      <c r="H306" t="s">
        <v>19</v>
      </c>
      <c r="I306" t="s">
        <v>19</v>
      </c>
      <c r="J306" t="s">
        <v>20</v>
      </c>
      <c r="K306" t="s">
        <v>21</v>
      </c>
      <c r="L306" t="s">
        <v>19</v>
      </c>
      <c r="M306">
        <v>0</v>
      </c>
      <c r="N306">
        <v>9</v>
      </c>
      <c r="O306" t="s">
        <v>245</v>
      </c>
      <c r="P306" t="s">
        <v>259</v>
      </c>
    </row>
    <row r="307" spans="1:16" x14ac:dyDescent="0.3">
      <c r="A307">
        <v>365</v>
      </c>
      <c r="B307" t="s">
        <v>47</v>
      </c>
      <c r="C307" t="s">
        <v>407</v>
      </c>
      <c r="D307" s="6">
        <v>41042</v>
      </c>
      <c r="E307" t="s">
        <v>263</v>
      </c>
      <c r="F307" t="s">
        <v>49</v>
      </c>
      <c r="G307" t="s">
        <v>31</v>
      </c>
      <c r="H307" t="s">
        <v>235</v>
      </c>
      <c r="I307" t="s">
        <v>31</v>
      </c>
      <c r="J307" t="s">
        <v>40</v>
      </c>
      <c r="K307" t="s">
        <v>21</v>
      </c>
      <c r="L307" t="s">
        <v>31</v>
      </c>
      <c r="M307">
        <v>45</v>
      </c>
      <c r="N307">
        <v>0</v>
      </c>
      <c r="O307" t="s">
        <v>225</v>
      </c>
      <c r="P307" t="s">
        <v>262</v>
      </c>
    </row>
    <row r="308" spans="1:16" x14ac:dyDescent="0.3">
      <c r="A308">
        <v>366</v>
      </c>
      <c r="B308" t="s">
        <v>123</v>
      </c>
      <c r="C308" t="s">
        <v>407</v>
      </c>
      <c r="D308" s="6">
        <v>41042</v>
      </c>
      <c r="E308" t="s">
        <v>264</v>
      </c>
      <c r="F308" t="s">
        <v>188</v>
      </c>
      <c r="G308" t="s">
        <v>260</v>
      </c>
      <c r="H308" t="s">
        <v>45</v>
      </c>
      <c r="I308" t="s">
        <v>260</v>
      </c>
      <c r="J308" t="s">
        <v>40</v>
      </c>
      <c r="K308" t="s">
        <v>21</v>
      </c>
      <c r="L308" t="s">
        <v>45</v>
      </c>
      <c r="M308">
        <v>0</v>
      </c>
      <c r="N308">
        <v>4</v>
      </c>
      <c r="O308" t="s">
        <v>154</v>
      </c>
      <c r="P308" t="s">
        <v>155</v>
      </c>
    </row>
    <row r="309" spans="1:16" x14ac:dyDescent="0.3">
      <c r="A309">
        <v>367</v>
      </c>
      <c r="B309" t="s">
        <v>105</v>
      </c>
      <c r="C309" t="s">
        <v>407</v>
      </c>
      <c r="D309" s="6">
        <v>41043</v>
      </c>
      <c r="E309" t="s">
        <v>67</v>
      </c>
      <c r="F309" t="s">
        <v>60</v>
      </c>
      <c r="G309" t="s">
        <v>50</v>
      </c>
      <c r="H309" t="s">
        <v>39</v>
      </c>
      <c r="I309" t="s">
        <v>39</v>
      </c>
      <c r="J309" t="s">
        <v>20</v>
      </c>
      <c r="K309" t="s">
        <v>21</v>
      </c>
      <c r="L309" t="s">
        <v>39</v>
      </c>
      <c r="M309">
        <v>0</v>
      </c>
      <c r="N309">
        <v>5</v>
      </c>
      <c r="O309" t="s">
        <v>245</v>
      </c>
      <c r="P309" t="s">
        <v>259</v>
      </c>
    </row>
    <row r="310" spans="1:16" x14ac:dyDescent="0.3">
      <c r="A310">
        <v>368</v>
      </c>
      <c r="B310" t="s">
        <v>24</v>
      </c>
      <c r="C310" t="s">
        <v>407</v>
      </c>
      <c r="D310" s="6">
        <v>41043</v>
      </c>
      <c r="E310" t="s">
        <v>215</v>
      </c>
      <c r="F310" t="s">
        <v>26</v>
      </c>
      <c r="G310" t="s">
        <v>27</v>
      </c>
      <c r="H310" t="s">
        <v>19</v>
      </c>
      <c r="I310" t="s">
        <v>19</v>
      </c>
      <c r="J310" t="s">
        <v>20</v>
      </c>
      <c r="K310" t="s">
        <v>21</v>
      </c>
      <c r="L310" t="s">
        <v>19</v>
      </c>
      <c r="M310">
        <v>0</v>
      </c>
      <c r="N310">
        <v>5</v>
      </c>
      <c r="O310" t="s">
        <v>191</v>
      </c>
      <c r="P310" t="s">
        <v>231</v>
      </c>
    </row>
    <row r="311" spans="1:16" x14ac:dyDescent="0.3">
      <c r="A311">
        <v>369</v>
      </c>
      <c r="B311" t="s">
        <v>35</v>
      </c>
      <c r="C311" t="s">
        <v>407</v>
      </c>
      <c r="D311" s="6">
        <v>41044</v>
      </c>
      <c r="E311" t="s">
        <v>65</v>
      </c>
      <c r="F311" t="s">
        <v>37</v>
      </c>
      <c r="G311" t="s">
        <v>45</v>
      </c>
      <c r="H311" t="s">
        <v>38</v>
      </c>
      <c r="I311" t="s">
        <v>45</v>
      </c>
      <c r="J311" t="s">
        <v>40</v>
      </c>
      <c r="K311" t="s">
        <v>21</v>
      </c>
      <c r="L311" t="s">
        <v>38</v>
      </c>
      <c r="M311">
        <v>0</v>
      </c>
      <c r="N311">
        <v>5</v>
      </c>
      <c r="O311" t="s">
        <v>154</v>
      </c>
      <c r="P311" t="s">
        <v>155</v>
      </c>
    </row>
    <row r="312" spans="1:16" x14ac:dyDescent="0.3">
      <c r="A312">
        <v>370</v>
      </c>
      <c r="B312" t="s">
        <v>15</v>
      </c>
      <c r="C312" t="s">
        <v>407</v>
      </c>
      <c r="D312" s="6">
        <v>41045</v>
      </c>
      <c r="E312" t="s">
        <v>69</v>
      </c>
      <c r="F312" t="s">
        <v>17</v>
      </c>
      <c r="G312" t="s">
        <v>27</v>
      </c>
      <c r="H312" t="s">
        <v>39</v>
      </c>
      <c r="I312" t="s">
        <v>39</v>
      </c>
      <c r="J312" t="s">
        <v>20</v>
      </c>
      <c r="K312" t="s">
        <v>21</v>
      </c>
      <c r="L312" t="s">
        <v>27</v>
      </c>
      <c r="M312">
        <v>32</v>
      </c>
      <c r="N312">
        <v>0</v>
      </c>
      <c r="O312" t="s">
        <v>245</v>
      </c>
      <c r="P312" t="s">
        <v>259</v>
      </c>
    </row>
    <row r="313" spans="1:16" x14ac:dyDescent="0.3">
      <c r="A313">
        <v>371</v>
      </c>
      <c r="B313" t="s">
        <v>238</v>
      </c>
      <c r="C313" t="s">
        <v>407</v>
      </c>
      <c r="D313" s="6">
        <v>41046</v>
      </c>
      <c r="E313" t="s">
        <v>243</v>
      </c>
      <c r="F313" t="s">
        <v>240</v>
      </c>
      <c r="G313" t="s">
        <v>19</v>
      </c>
      <c r="H313" t="s">
        <v>45</v>
      </c>
      <c r="I313" t="s">
        <v>45</v>
      </c>
      <c r="J313" t="s">
        <v>20</v>
      </c>
      <c r="K313" t="s">
        <v>21</v>
      </c>
      <c r="L313" t="s">
        <v>45</v>
      </c>
      <c r="M313">
        <v>0</v>
      </c>
      <c r="N313">
        <v>6</v>
      </c>
      <c r="O313" t="s">
        <v>178</v>
      </c>
      <c r="P313" t="s">
        <v>262</v>
      </c>
    </row>
    <row r="314" spans="1:16" x14ac:dyDescent="0.3">
      <c r="A314">
        <v>372</v>
      </c>
      <c r="B314" t="s">
        <v>35</v>
      </c>
      <c r="C314" t="s">
        <v>407</v>
      </c>
      <c r="D314" s="6">
        <v>41046</v>
      </c>
      <c r="E314" t="s">
        <v>92</v>
      </c>
      <c r="F314" t="s">
        <v>37</v>
      </c>
      <c r="G314" t="s">
        <v>50</v>
      </c>
      <c r="H314" t="s">
        <v>38</v>
      </c>
      <c r="I314" t="s">
        <v>38</v>
      </c>
      <c r="J314" t="s">
        <v>20</v>
      </c>
      <c r="K314" t="s">
        <v>21</v>
      </c>
      <c r="L314" t="s">
        <v>50</v>
      </c>
      <c r="M314">
        <v>21</v>
      </c>
      <c r="N314">
        <v>0</v>
      </c>
      <c r="O314" t="s">
        <v>154</v>
      </c>
      <c r="P314" t="s">
        <v>34</v>
      </c>
    </row>
    <row r="315" spans="1:16" x14ac:dyDescent="0.3">
      <c r="A315">
        <v>373</v>
      </c>
      <c r="B315" t="s">
        <v>53</v>
      </c>
      <c r="C315" t="s">
        <v>407</v>
      </c>
      <c r="D315" s="6">
        <v>41047</v>
      </c>
      <c r="E315" t="s">
        <v>218</v>
      </c>
      <c r="F315" t="s">
        <v>55</v>
      </c>
      <c r="G315" t="s">
        <v>31</v>
      </c>
      <c r="H315" t="s">
        <v>260</v>
      </c>
      <c r="I315" t="s">
        <v>31</v>
      </c>
      <c r="J315" t="s">
        <v>40</v>
      </c>
      <c r="K315" t="s">
        <v>21</v>
      </c>
      <c r="L315" t="s">
        <v>260</v>
      </c>
      <c r="M315">
        <v>0</v>
      </c>
      <c r="N315">
        <v>5</v>
      </c>
      <c r="O315" t="s">
        <v>23</v>
      </c>
      <c r="P315" t="s">
        <v>231</v>
      </c>
    </row>
    <row r="316" spans="1:16" x14ac:dyDescent="0.3">
      <c r="A316">
        <v>374</v>
      </c>
      <c r="B316" t="s">
        <v>238</v>
      </c>
      <c r="C316" t="s">
        <v>407</v>
      </c>
      <c r="D316" s="6">
        <v>41048</v>
      </c>
      <c r="E316" t="s">
        <v>65</v>
      </c>
      <c r="F316" t="s">
        <v>240</v>
      </c>
      <c r="G316" t="s">
        <v>45</v>
      </c>
      <c r="H316" t="s">
        <v>38</v>
      </c>
      <c r="I316" t="s">
        <v>38</v>
      </c>
      <c r="J316" t="s">
        <v>20</v>
      </c>
      <c r="K316" t="s">
        <v>21</v>
      </c>
      <c r="L316" t="s">
        <v>38</v>
      </c>
      <c r="M316">
        <v>0</v>
      </c>
      <c r="N316">
        <v>6</v>
      </c>
      <c r="O316" t="s">
        <v>225</v>
      </c>
      <c r="P316" t="s">
        <v>178</v>
      </c>
    </row>
    <row r="317" spans="1:16" x14ac:dyDescent="0.3">
      <c r="A317">
        <v>375</v>
      </c>
      <c r="B317" t="s">
        <v>42</v>
      </c>
      <c r="C317" t="s">
        <v>407</v>
      </c>
      <c r="D317" s="6">
        <v>41048</v>
      </c>
      <c r="E317" t="s">
        <v>261</v>
      </c>
      <c r="F317" t="s">
        <v>234</v>
      </c>
      <c r="G317" t="s">
        <v>27</v>
      </c>
      <c r="H317" t="s">
        <v>235</v>
      </c>
      <c r="I317" t="s">
        <v>27</v>
      </c>
      <c r="J317" t="s">
        <v>40</v>
      </c>
      <c r="K317" t="s">
        <v>21</v>
      </c>
      <c r="L317" t="s">
        <v>27</v>
      </c>
      <c r="M317">
        <v>34</v>
      </c>
      <c r="N317">
        <v>0</v>
      </c>
      <c r="O317" t="s">
        <v>237</v>
      </c>
      <c r="P317" t="s">
        <v>259</v>
      </c>
    </row>
    <row r="318" spans="1:16" x14ac:dyDescent="0.3">
      <c r="A318">
        <v>376</v>
      </c>
      <c r="B318" t="s">
        <v>53</v>
      </c>
      <c r="C318" t="s">
        <v>407</v>
      </c>
      <c r="D318" s="6">
        <v>41049</v>
      </c>
      <c r="E318" t="s">
        <v>218</v>
      </c>
      <c r="F318" t="s">
        <v>55</v>
      </c>
      <c r="G318" t="s">
        <v>260</v>
      </c>
      <c r="H318" t="s">
        <v>50</v>
      </c>
      <c r="I318" t="s">
        <v>50</v>
      </c>
      <c r="J318" t="s">
        <v>20</v>
      </c>
      <c r="K318" t="s">
        <v>21</v>
      </c>
      <c r="L318" t="s">
        <v>260</v>
      </c>
      <c r="M318">
        <v>9</v>
      </c>
      <c r="N318">
        <v>0</v>
      </c>
      <c r="O318" t="s">
        <v>23</v>
      </c>
      <c r="P318" t="s">
        <v>231</v>
      </c>
    </row>
    <row r="319" spans="1:16" x14ac:dyDescent="0.3">
      <c r="A319">
        <v>377</v>
      </c>
      <c r="B319" t="s">
        <v>47</v>
      </c>
      <c r="C319" t="s">
        <v>407</v>
      </c>
      <c r="D319" s="6">
        <v>41049</v>
      </c>
      <c r="E319" t="s">
        <v>126</v>
      </c>
      <c r="F319" t="s">
        <v>49</v>
      </c>
      <c r="G319" t="s">
        <v>31</v>
      </c>
      <c r="H319" t="s">
        <v>39</v>
      </c>
      <c r="I319" t="s">
        <v>31</v>
      </c>
      <c r="J319" t="s">
        <v>40</v>
      </c>
      <c r="K319" t="s">
        <v>21</v>
      </c>
      <c r="L319" t="s">
        <v>39</v>
      </c>
      <c r="M319">
        <v>0</v>
      </c>
      <c r="N319">
        <v>10</v>
      </c>
      <c r="O319" t="s">
        <v>154</v>
      </c>
      <c r="P319" t="s">
        <v>34</v>
      </c>
    </row>
    <row r="320" spans="1:16" x14ac:dyDescent="0.3">
      <c r="A320">
        <v>378</v>
      </c>
      <c r="B320" t="s">
        <v>42</v>
      </c>
      <c r="C320" t="s">
        <v>407</v>
      </c>
      <c r="D320" s="6">
        <v>41051</v>
      </c>
      <c r="E320" t="s">
        <v>157</v>
      </c>
      <c r="F320" t="s">
        <v>234</v>
      </c>
      <c r="G320" t="s">
        <v>27</v>
      </c>
      <c r="H320" t="s">
        <v>38</v>
      </c>
      <c r="I320" t="s">
        <v>27</v>
      </c>
      <c r="J320" t="s">
        <v>40</v>
      </c>
      <c r="K320" t="s">
        <v>21</v>
      </c>
      <c r="L320" t="s">
        <v>27</v>
      </c>
      <c r="M320">
        <v>18</v>
      </c>
      <c r="N320">
        <v>0</v>
      </c>
      <c r="O320" t="s">
        <v>259</v>
      </c>
      <c r="P320" t="s">
        <v>231</v>
      </c>
    </row>
    <row r="321" spans="1:16" x14ac:dyDescent="0.3">
      <c r="A321">
        <v>379</v>
      </c>
      <c r="B321" t="s">
        <v>105</v>
      </c>
      <c r="C321" t="s">
        <v>407</v>
      </c>
      <c r="D321" s="6">
        <v>41052</v>
      </c>
      <c r="E321" t="s">
        <v>87</v>
      </c>
      <c r="F321" t="s">
        <v>60</v>
      </c>
      <c r="G321" t="s">
        <v>19</v>
      </c>
      <c r="H321" t="s">
        <v>39</v>
      </c>
      <c r="I321" t="s">
        <v>39</v>
      </c>
      <c r="J321" t="s">
        <v>20</v>
      </c>
      <c r="K321" t="s">
        <v>21</v>
      </c>
      <c r="L321" t="s">
        <v>19</v>
      </c>
      <c r="M321">
        <v>38</v>
      </c>
      <c r="N321">
        <v>0</v>
      </c>
      <c r="O321" t="s">
        <v>225</v>
      </c>
      <c r="P321" t="s">
        <v>154</v>
      </c>
    </row>
    <row r="322" spans="1:16" x14ac:dyDescent="0.3">
      <c r="A322">
        <v>380</v>
      </c>
      <c r="B322" t="s">
        <v>98</v>
      </c>
      <c r="C322" t="s">
        <v>407</v>
      </c>
      <c r="D322" s="6">
        <v>41054</v>
      </c>
      <c r="E322" t="s">
        <v>227</v>
      </c>
      <c r="F322" t="s">
        <v>100</v>
      </c>
      <c r="G322" t="s">
        <v>19</v>
      </c>
      <c r="H322" t="s">
        <v>38</v>
      </c>
      <c r="I322" t="s">
        <v>38</v>
      </c>
      <c r="J322" t="s">
        <v>20</v>
      </c>
      <c r="K322" t="s">
        <v>21</v>
      </c>
      <c r="L322" t="s">
        <v>19</v>
      </c>
      <c r="M322">
        <v>86</v>
      </c>
      <c r="N322">
        <v>0</v>
      </c>
      <c r="O322" t="s">
        <v>259</v>
      </c>
      <c r="P322" t="s">
        <v>231</v>
      </c>
    </row>
    <row r="323" spans="1:16" x14ac:dyDescent="0.3">
      <c r="A323">
        <v>381</v>
      </c>
      <c r="B323" t="s">
        <v>98</v>
      </c>
      <c r="C323" t="s">
        <v>407</v>
      </c>
      <c r="D323" s="6">
        <v>41056</v>
      </c>
      <c r="E323" t="s">
        <v>258</v>
      </c>
      <c r="F323" t="s">
        <v>100</v>
      </c>
      <c r="G323" t="s">
        <v>19</v>
      </c>
      <c r="H323" t="s">
        <v>27</v>
      </c>
      <c r="I323" t="s">
        <v>19</v>
      </c>
      <c r="J323" t="s">
        <v>40</v>
      </c>
      <c r="K323" t="s">
        <v>21</v>
      </c>
      <c r="L323" t="s">
        <v>27</v>
      </c>
      <c r="M323">
        <v>0</v>
      </c>
      <c r="N323">
        <v>5</v>
      </c>
      <c r="O323" t="s">
        <v>225</v>
      </c>
      <c r="P323" t="s">
        <v>231</v>
      </c>
    </row>
    <row r="324" spans="1:16" x14ac:dyDescent="0.3">
      <c r="A324">
        <v>382</v>
      </c>
      <c r="B324" t="s">
        <v>24</v>
      </c>
      <c r="C324" t="s">
        <v>405</v>
      </c>
      <c r="D324" s="6">
        <v>41367</v>
      </c>
      <c r="E324" t="s">
        <v>69</v>
      </c>
      <c r="F324" t="s">
        <v>26</v>
      </c>
      <c r="G324" t="s">
        <v>38</v>
      </c>
      <c r="H324" t="s">
        <v>27</v>
      </c>
      <c r="I324" t="s">
        <v>27</v>
      </c>
      <c r="J324" t="s">
        <v>20</v>
      </c>
      <c r="K324" t="s">
        <v>21</v>
      </c>
      <c r="L324" t="s">
        <v>27</v>
      </c>
      <c r="M324">
        <v>0</v>
      </c>
      <c r="N324">
        <v>6</v>
      </c>
      <c r="O324" t="s">
        <v>23</v>
      </c>
      <c r="P324" t="s">
        <v>231</v>
      </c>
    </row>
    <row r="325" spans="1:16" x14ac:dyDescent="0.3">
      <c r="A325">
        <v>383</v>
      </c>
      <c r="B325" t="s">
        <v>105</v>
      </c>
      <c r="C325" t="s">
        <v>405</v>
      </c>
      <c r="D325" s="6">
        <v>41368</v>
      </c>
      <c r="E325" t="s">
        <v>92</v>
      </c>
      <c r="F325" t="s">
        <v>60</v>
      </c>
      <c r="G325" t="s">
        <v>50</v>
      </c>
      <c r="H325" t="s">
        <v>39</v>
      </c>
      <c r="I325" t="s">
        <v>39</v>
      </c>
      <c r="J325" t="s">
        <v>20</v>
      </c>
      <c r="K325" t="s">
        <v>21</v>
      </c>
      <c r="L325" t="s">
        <v>50</v>
      </c>
      <c r="M325">
        <v>2</v>
      </c>
      <c r="N325">
        <v>0</v>
      </c>
      <c r="O325" t="s">
        <v>178</v>
      </c>
      <c r="P325" t="s">
        <v>34</v>
      </c>
    </row>
    <row r="326" spans="1:16" x14ac:dyDescent="0.3">
      <c r="A326">
        <v>384</v>
      </c>
      <c r="B326" t="s">
        <v>53</v>
      </c>
      <c r="C326" t="s">
        <v>405</v>
      </c>
      <c r="D326" s="6">
        <v>41369</v>
      </c>
      <c r="E326" t="s">
        <v>36</v>
      </c>
      <c r="F326" t="s">
        <v>55</v>
      </c>
      <c r="G326" t="s">
        <v>18</v>
      </c>
      <c r="H326" t="s">
        <v>235</v>
      </c>
      <c r="I326" t="s">
        <v>235</v>
      </c>
      <c r="J326" t="s">
        <v>20</v>
      </c>
      <c r="K326" t="s">
        <v>21</v>
      </c>
      <c r="L326" t="s">
        <v>18</v>
      </c>
      <c r="M326">
        <v>22</v>
      </c>
      <c r="N326">
        <v>0</v>
      </c>
      <c r="O326" t="s">
        <v>23</v>
      </c>
      <c r="P326" t="s">
        <v>231</v>
      </c>
    </row>
    <row r="327" spans="1:16" x14ac:dyDescent="0.3">
      <c r="A327">
        <v>385</v>
      </c>
      <c r="B327" t="s">
        <v>35</v>
      </c>
      <c r="C327" t="s">
        <v>405</v>
      </c>
      <c r="D327" s="6">
        <v>41370</v>
      </c>
      <c r="E327" t="s">
        <v>257</v>
      </c>
      <c r="F327" t="s">
        <v>37</v>
      </c>
      <c r="G327" t="s">
        <v>31</v>
      </c>
      <c r="H327" t="s">
        <v>38</v>
      </c>
      <c r="I327" t="s">
        <v>31</v>
      </c>
      <c r="J327" t="s">
        <v>40</v>
      </c>
      <c r="K327" t="s">
        <v>21</v>
      </c>
      <c r="L327" t="s">
        <v>31</v>
      </c>
      <c r="M327">
        <v>5</v>
      </c>
      <c r="N327">
        <v>0</v>
      </c>
      <c r="O327" t="s">
        <v>245</v>
      </c>
      <c r="P327" t="s">
        <v>34</v>
      </c>
    </row>
    <row r="328" spans="1:16" x14ac:dyDescent="0.3">
      <c r="A328">
        <v>386</v>
      </c>
      <c r="B328" t="s">
        <v>98</v>
      </c>
      <c r="C328" t="s">
        <v>405</v>
      </c>
      <c r="D328" s="6">
        <v>41370</v>
      </c>
      <c r="E328" t="s">
        <v>147</v>
      </c>
      <c r="F328" t="s">
        <v>100</v>
      </c>
      <c r="G328" t="s">
        <v>39</v>
      </c>
      <c r="H328" t="s">
        <v>19</v>
      </c>
      <c r="I328" t="s">
        <v>39</v>
      </c>
      <c r="J328" t="s">
        <v>40</v>
      </c>
      <c r="K328" t="s">
        <v>21</v>
      </c>
      <c r="L328" t="s">
        <v>39</v>
      </c>
      <c r="M328">
        <v>9</v>
      </c>
      <c r="N328">
        <v>0</v>
      </c>
      <c r="O328" t="s">
        <v>125</v>
      </c>
      <c r="P328" t="s">
        <v>178</v>
      </c>
    </row>
    <row r="329" spans="1:16" x14ac:dyDescent="0.3">
      <c r="A329">
        <v>387</v>
      </c>
      <c r="B329" t="s">
        <v>42</v>
      </c>
      <c r="C329" t="s">
        <v>405</v>
      </c>
      <c r="D329" s="6">
        <v>41371</v>
      </c>
      <c r="E329" t="s">
        <v>176</v>
      </c>
      <c r="F329" t="s">
        <v>234</v>
      </c>
      <c r="G329" t="s">
        <v>235</v>
      </c>
      <c r="H329" t="s">
        <v>45</v>
      </c>
      <c r="I329" t="s">
        <v>235</v>
      </c>
      <c r="J329" t="s">
        <v>40</v>
      </c>
      <c r="K329" t="s">
        <v>21</v>
      </c>
      <c r="L329" t="s">
        <v>45</v>
      </c>
      <c r="M329">
        <v>0</v>
      </c>
      <c r="N329">
        <v>8</v>
      </c>
      <c r="O329" t="s">
        <v>237</v>
      </c>
      <c r="P329" t="s">
        <v>231</v>
      </c>
    </row>
    <row r="330" spans="1:16" x14ac:dyDescent="0.3">
      <c r="A330">
        <v>388</v>
      </c>
      <c r="B330" t="s">
        <v>53</v>
      </c>
      <c r="C330" t="s">
        <v>405</v>
      </c>
      <c r="D330" s="6">
        <v>41371</v>
      </c>
      <c r="E330" t="s">
        <v>252</v>
      </c>
      <c r="F330" t="s">
        <v>55</v>
      </c>
      <c r="G330" t="s">
        <v>50</v>
      </c>
      <c r="H330" t="s">
        <v>18</v>
      </c>
      <c r="I330" t="s">
        <v>50</v>
      </c>
      <c r="J330" t="s">
        <v>40</v>
      </c>
      <c r="K330" t="s">
        <v>138</v>
      </c>
      <c r="L330" t="s">
        <v>18</v>
      </c>
      <c r="M330">
        <v>0</v>
      </c>
      <c r="N330">
        <v>0</v>
      </c>
      <c r="O330" t="s">
        <v>108</v>
      </c>
      <c r="P330" t="s">
        <v>23</v>
      </c>
    </row>
    <row r="331" spans="1:16" x14ac:dyDescent="0.3">
      <c r="A331">
        <v>389</v>
      </c>
      <c r="B331" t="s">
        <v>47</v>
      </c>
      <c r="C331" t="s">
        <v>405</v>
      </c>
      <c r="D331" s="6">
        <v>41372</v>
      </c>
      <c r="E331" t="s">
        <v>256</v>
      </c>
      <c r="F331" t="s">
        <v>49</v>
      </c>
      <c r="G331" t="s">
        <v>31</v>
      </c>
      <c r="H331" t="s">
        <v>27</v>
      </c>
      <c r="I331" t="s">
        <v>27</v>
      </c>
      <c r="J331" t="s">
        <v>20</v>
      </c>
      <c r="K331" t="s">
        <v>21</v>
      </c>
      <c r="L331" t="s">
        <v>31</v>
      </c>
      <c r="M331">
        <v>19</v>
      </c>
      <c r="N331">
        <v>0</v>
      </c>
      <c r="O331" t="s">
        <v>224</v>
      </c>
      <c r="P331" t="s">
        <v>245</v>
      </c>
    </row>
    <row r="332" spans="1:16" x14ac:dyDescent="0.3">
      <c r="A332">
        <v>390</v>
      </c>
      <c r="B332" t="s">
        <v>15</v>
      </c>
      <c r="C332" t="s">
        <v>405</v>
      </c>
      <c r="D332" s="6">
        <v>41373</v>
      </c>
      <c r="E332" t="s">
        <v>255</v>
      </c>
      <c r="F332" t="s">
        <v>17</v>
      </c>
      <c r="G332" t="s">
        <v>39</v>
      </c>
      <c r="H332" t="s">
        <v>38</v>
      </c>
      <c r="I332" t="s">
        <v>39</v>
      </c>
      <c r="J332" t="s">
        <v>40</v>
      </c>
      <c r="K332" t="s">
        <v>21</v>
      </c>
      <c r="L332" t="s">
        <v>39</v>
      </c>
      <c r="M332">
        <v>44</v>
      </c>
      <c r="N332">
        <v>0</v>
      </c>
      <c r="O332" t="s">
        <v>125</v>
      </c>
      <c r="P332" t="s">
        <v>178</v>
      </c>
    </row>
    <row r="333" spans="1:16" x14ac:dyDescent="0.3">
      <c r="A333">
        <v>391</v>
      </c>
      <c r="B333" t="s">
        <v>123</v>
      </c>
      <c r="C333" t="s">
        <v>405</v>
      </c>
      <c r="D333" s="6">
        <v>41374</v>
      </c>
      <c r="E333" t="s">
        <v>215</v>
      </c>
      <c r="F333" t="s">
        <v>188</v>
      </c>
      <c r="G333" t="s">
        <v>45</v>
      </c>
      <c r="H333" t="s">
        <v>19</v>
      </c>
      <c r="I333" t="s">
        <v>19</v>
      </c>
      <c r="J333" t="s">
        <v>20</v>
      </c>
      <c r="K333" t="s">
        <v>21</v>
      </c>
      <c r="L333" t="s">
        <v>19</v>
      </c>
      <c r="M333">
        <v>0</v>
      </c>
      <c r="N333">
        <v>10</v>
      </c>
      <c r="O333" t="s">
        <v>224</v>
      </c>
      <c r="P333" t="s">
        <v>34</v>
      </c>
    </row>
    <row r="334" spans="1:16" x14ac:dyDescent="0.3">
      <c r="A334">
        <v>392</v>
      </c>
      <c r="B334" t="s">
        <v>105</v>
      </c>
      <c r="C334" t="s">
        <v>405</v>
      </c>
      <c r="D334" s="6">
        <v>41375</v>
      </c>
      <c r="E334" t="s">
        <v>92</v>
      </c>
      <c r="F334" t="s">
        <v>60</v>
      </c>
      <c r="G334" t="s">
        <v>27</v>
      </c>
      <c r="H334" t="s">
        <v>50</v>
      </c>
      <c r="I334" t="s">
        <v>50</v>
      </c>
      <c r="J334" t="s">
        <v>20</v>
      </c>
      <c r="K334" t="s">
        <v>21</v>
      </c>
      <c r="L334" t="s">
        <v>50</v>
      </c>
      <c r="M334">
        <v>0</v>
      </c>
      <c r="N334">
        <v>8</v>
      </c>
      <c r="O334" t="s">
        <v>236</v>
      </c>
      <c r="P334" t="s">
        <v>108</v>
      </c>
    </row>
    <row r="335" spans="1:16" x14ac:dyDescent="0.3">
      <c r="A335">
        <v>393</v>
      </c>
      <c r="B335" t="s">
        <v>42</v>
      </c>
      <c r="C335" t="s">
        <v>405</v>
      </c>
      <c r="D335" s="6">
        <v>41375</v>
      </c>
      <c r="E335" t="s">
        <v>179</v>
      </c>
      <c r="F335" t="s">
        <v>234</v>
      </c>
      <c r="G335" t="s">
        <v>31</v>
      </c>
      <c r="H335" t="s">
        <v>235</v>
      </c>
      <c r="I335" t="s">
        <v>31</v>
      </c>
      <c r="J335" t="s">
        <v>40</v>
      </c>
      <c r="K335" t="s">
        <v>21</v>
      </c>
      <c r="L335" t="s">
        <v>235</v>
      </c>
      <c r="M335">
        <v>0</v>
      </c>
      <c r="N335">
        <v>7</v>
      </c>
      <c r="O335" t="s">
        <v>125</v>
      </c>
      <c r="P335" t="s">
        <v>186</v>
      </c>
    </row>
    <row r="336" spans="1:16" x14ac:dyDescent="0.3">
      <c r="A336">
        <v>394</v>
      </c>
      <c r="B336" t="s">
        <v>35</v>
      </c>
      <c r="C336" t="s">
        <v>405</v>
      </c>
      <c r="D336" s="6">
        <v>41376</v>
      </c>
      <c r="E336" t="s">
        <v>36</v>
      </c>
      <c r="F336" t="s">
        <v>37</v>
      </c>
      <c r="G336" t="s">
        <v>38</v>
      </c>
      <c r="H336" t="s">
        <v>18</v>
      </c>
      <c r="I336" t="s">
        <v>38</v>
      </c>
      <c r="J336" t="s">
        <v>40</v>
      </c>
      <c r="K336" t="s">
        <v>21</v>
      </c>
      <c r="L336" t="s">
        <v>18</v>
      </c>
      <c r="M336">
        <v>0</v>
      </c>
      <c r="N336">
        <v>3</v>
      </c>
      <c r="O336" t="s">
        <v>224</v>
      </c>
      <c r="P336" t="s">
        <v>254</v>
      </c>
    </row>
    <row r="337" spans="1:16" x14ac:dyDescent="0.3">
      <c r="A337">
        <v>395</v>
      </c>
      <c r="B337" t="s">
        <v>15</v>
      </c>
      <c r="C337" t="s">
        <v>405</v>
      </c>
      <c r="D337" s="6">
        <v>41377</v>
      </c>
      <c r="E337" t="s">
        <v>83</v>
      </c>
      <c r="F337" t="s">
        <v>17</v>
      </c>
      <c r="G337" t="s">
        <v>39</v>
      </c>
      <c r="H337" t="s">
        <v>235</v>
      </c>
      <c r="I337" t="s">
        <v>39</v>
      </c>
      <c r="J337" t="s">
        <v>40</v>
      </c>
      <c r="K337" t="s">
        <v>21</v>
      </c>
      <c r="L337" t="s">
        <v>39</v>
      </c>
      <c r="M337">
        <v>41</v>
      </c>
      <c r="N337">
        <v>0</v>
      </c>
      <c r="O337" t="s">
        <v>23</v>
      </c>
      <c r="P337" t="s">
        <v>231</v>
      </c>
    </row>
    <row r="338" spans="1:16" x14ac:dyDescent="0.3">
      <c r="A338">
        <v>396</v>
      </c>
      <c r="B338" t="s">
        <v>98</v>
      </c>
      <c r="C338" t="s">
        <v>405</v>
      </c>
      <c r="D338" s="6">
        <v>41377</v>
      </c>
      <c r="E338" t="s">
        <v>77</v>
      </c>
      <c r="F338" t="s">
        <v>100</v>
      </c>
      <c r="G338" t="s">
        <v>50</v>
      </c>
      <c r="H338" t="s">
        <v>19</v>
      </c>
      <c r="I338" t="s">
        <v>19</v>
      </c>
      <c r="J338" t="s">
        <v>20</v>
      </c>
      <c r="K338" t="s">
        <v>21</v>
      </c>
      <c r="L338" t="s">
        <v>19</v>
      </c>
      <c r="M338">
        <v>0</v>
      </c>
      <c r="N338">
        <v>4</v>
      </c>
      <c r="O338" t="s">
        <v>236</v>
      </c>
      <c r="P338" t="s">
        <v>108</v>
      </c>
    </row>
    <row r="339" spans="1:16" x14ac:dyDescent="0.3">
      <c r="A339">
        <v>397</v>
      </c>
      <c r="B339" t="s">
        <v>24</v>
      </c>
      <c r="C339" t="s">
        <v>405</v>
      </c>
      <c r="D339" s="6">
        <v>41378</v>
      </c>
      <c r="E339" t="s">
        <v>139</v>
      </c>
      <c r="F339" t="s">
        <v>26</v>
      </c>
      <c r="G339" t="s">
        <v>27</v>
      </c>
      <c r="H339" t="s">
        <v>18</v>
      </c>
      <c r="I339" t="s">
        <v>27</v>
      </c>
      <c r="J339" t="s">
        <v>40</v>
      </c>
      <c r="K339" t="s">
        <v>21</v>
      </c>
      <c r="L339" t="s">
        <v>27</v>
      </c>
      <c r="M339">
        <v>48</v>
      </c>
      <c r="N339">
        <v>0</v>
      </c>
      <c r="O339" t="s">
        <v>125</v>
      </c>
      <c r="P339" t="s">
        <v>178</v>
      </c>
    </row>
    <row r="340" spans="1:16" x14ac:dyDescent="0.3">
      <c r="A340">
        <v>398</v>
      </c>
      <c r="B340" t="s">
        <v>47</v>
      </c>
      <c r="C340" t="s">
        <v>405</v>
      </c>
      <c r="D340" s="6">
        <v>41378</v>
      </c>
      <c r="E340" t="s">
        <v>211</v>
      </c>
      <c r="F340" t="s">
        <v>49</v>
      </c>
      <c r="G340" t="s">
        <v>45</v>
      </c>
      <c r="H340" t="s">
        <v>31</v>
      </c>
      <c r="I340" t="s">
        <v>31</v>
      </c>
      <c r="J340" t="s">
        <v>20</v>
      </c>
      <c r="K340" t="s">
        <v>21</v>
      </c>
      <c r="L340" t="s">
        <v>31</v>
      </c>
      <c r="M340">
        <v>0</v>
      </c>
      <c r="N340">
        <v>6</v>
      </c>
      <c r="O340" t="s">
        <v>224</v>
      </c>
      <c r="P340" t="s">
        <v>34</v>
      </c>
    </row>
    <row r="341" spans="1:16" x14ac:dyDescent="0.3">
      <c r="A341">
        <v>399</v>
      </c>
      <c r="B341" t="s">
        <v>98</v>
      </c>
      <c r="C341" t="s">
        <v>405</v>
      </c>
      <c r="D341" s="6">
        <v>41379</v>
      </c>
      <c r="E341" t="s">
        <v>151</v>
      </c>
      <c r="F341" t="s">
        <v>100</v>
      </c>
      <c r="G341" t="s">
        <v>235</v>
      </c>
      <c r="H341" t="s">
        <v>19</v>
      </c>
      <c r="I341" t="s">
        <v>235</v>
      </c>
      <c r="J341" t="s">
        <v>40</v>
      </c>
      <c r="K341" t="s">
        <v>21</v>
      </c>
      <c r="L341" t="s">
        <v>235</v>
      </c>
      <c r="M341">
        <v>24</v>
      </c>
      <c r="N341">
        <v>0</v>
      </c>
      <c r="O341" t="s">
        <v>236</v>
      </c>
      <c r="P341" t="s">
        <v>108</v>
      </c>
    </row>
    <row r="342" spans="1:16" x14ac:dyDescent="0.3">
      <c r="A342">
        <v>400</v>
      </c>
      <c r="B342" t="s">
        <v>123</v>
      </c>
      <c r="C342" t="s">
        <v>405</v>
      </c>
      <c r="D342" s="6">
        <v>41380</v>
      </c>
      <c r="E342" t="s">
        <v>253</v>
      </c>
      <c r="F342" t="s">
        <v>188</v>
      </c>
      <c r="G342" t="s">
        <v>45</v>
      </c>
      <c r="H342" t="s">
        <v>27</v>
      </c>
      <c r="I342" t="s">
        <v>27</v>
      </c>
      <c r="J342" t="s">
        <v>20</v>
      </c>
      <c r="K342" t="s">
        <v>21</v>
      </c>
      <c r="L342" t="s">
        <v>45</v>
      </c>
      <c r="M342">
        <v>4</v>
      </c>
      <c r="N342">
        <v>0</v>
      </c>
      <c r="O342" t="s">
        <v>113</v>
      </c>
      <c r="P342" t="s">
        <v>231</v>
      </c>
    </row>
    <row r="343" spans="1:16" x14ac:dyDescent="0.3">
      <c r="A343">
        <v>401</v>
      </c>
      <c r="B343" t="s">
        <v>105</v>
      </c>
      <c r="C343" t="s">
        <v>405</v>
      </c>
      <c r="D343" s="6">
        <v>41380</v>
      </c>
      <c r="E343" t="s">
        <v>159</v>
      </c>
      <c r="F343" t="s">
        <v>60</v>
      </c>
      <c r="G343" t="s">
        <v>38</v>
      </c>
      <c r="H343" t="s">
        <v>50</v>
      </c>
      <c r="I343" t="s">
        <v>50</v>
      </c>
      <c r="J343" t="s">
        <v>20</v>
      </c>
      <c r="K343" t="s">
        <v>138</v>
      </c>
      <c r="L343" t="s">
        <v>50</v>
      </c>
      <c r="M343">
        <v>0</v>
      </c>
      <c r="N343">
        <v>0</v>
      </c>
      <c r="O343" t="s">
        <v>125</v>
      </c>
      <c r="P343" t="s">
        <v>178</v>
      </c>
    </row>
    <row r="344" spans="1:16" x14ac:dyDescent="0.3">
      <c r="A344">
        <v>402</v>
      </c>
      <c r="B344" t="s">
        <v>42</v>
      </c>
      <c r="C344" t="s">
        <v>405</v>
      </c>
      <c r="D344" s="6">
        <v>41381</v>
      </c>
      <c r="E344" t="s">
        <v>36</v>
      </c>
      <c r="F344" t="s">
        <v>234</v>
      </c>
      <c r="G344" t="s">
        <v>18</v>
      </c>
      <c r="H344" t="s">
        <v>235</v>
      </c>
      <c r="I344" t="s">
        <v>235</v>
      </c>
      <c r="J344" t="s">
        <v>20</v>
      </c>
      <c r="K344" t="s">
        <v>21</v>
      </c>
      <c r="L344" t="s">
        <v>18</v>
      </c>
      <c r="M344">
        <v>11</v>
      </c>
      <c r="N344">
        <v>0</v>
      </c>
      <c r="O344" t="s">
        <v>236</v>
      </c>
      <c r="P344" t="s">
        <v>108</v>
      </c>
    </row>
    <row r="345" spans="1:16" x14ac:dyDescent="0.3">
      <c r="A345">
        <v>403</v>
      </c>
      <c r="B345" t="s">
        <v>47</v>
      </c>
      <c r="C345" t="s">
        <v>405</v>
      </c>
      <c r="D345" s="6">
        <v>41381</v>
      </c>
      <c r="E345" t="s">
        <v>171</v>
      </c>
      <c r="F345" t="s">
        <v>49</v>
      </c>
      <c r="G345" t="s">
        <v>31</v>
      </c>
      <c r="H345" t="s">
        <v>39</v>
      </c>
      <c r="I345" t="s">
        <v>31</v>
      </c>
      <c r="J345" t="s">
        <v>40</v>
      </c>
      <c r="K345" t="s">
        <v>21</v>
      </c>
      <c r="L345" t="s">
        <v>31</v>
      </c>
      <c r="M345">
        <v>87</v>
      </c>
      <c r="N345">
        <v>0</v>
      </c>
      <c r="O345" t="s">
        <v>224</v>
      </c>
      <c r="P345" t="s">
        <v>34</v>
      </c>
    </row>
    <row r="346" spans="1:16" x14ac:dyDescent="0.3">
      <c r="A346">
        <v>404</v>
      </c>
      <c r="B346" t="s">
        <v>35</v>
      </c>
      <c r="C346" t="s">
        <v>405</v>
      </c>
      <c r="D346" s="6">
        <v>41382</v>
      </c>
      <c r="E346" t="s">
        <v>215</v>
      </c>
      <c r="F346" t="s">
        <v>37</v>
      </c>
      <c r="G346" t="s">
        <v>19</v>
      </c>
      <c r="H346" t="s">
        <v>38</v>
      </c>
      <c r="I346" t="s">
        <v>19</v>
      </c>
      <c r="J346" t="s">
        <v>40</v>
      </c>
      <c r="K346" t="s">
        <v>21</v>
      </c>
      <c r="L346" t="s">
        <v>19</v>
      </c>
      <c r="M346">
        <v>86</v>
      </c>
      <c r="N346">
        <v>0</v>
      </c>
      <c r="O346" t="s">
        <v>125</v>
      </c>
      <c r="P346" t="s">
        <v>178</v>
      </c>
    </row>
    <row r="347" spans="1:16" x14ac:dyDescent="0.3">
      <c r="A347">
        <v>405</v>
      </c>
      <c r="B347" t="s">
        <v>53</v>
      </c>
      <c r="C347" t="s">
        <v>405</v>
      </c>
      <c r="D347" s="6">
        <v>41383</v>
      </c>
      <c r="E347" t="s">
        <v>252</v>
      </c>
      <c r="F347" t="s">
        <v>55</v>
      </c>
      <c r="G347" t="s">
        <v>45</v>
      </c>
      <c r="H347" t="s">
        <v>18</v>
      </c>
      <c r="I347" t="s">
        <v>45</v>
      </c>
      <c r="J347" t="s">
        <v>40</v>
      </c>
      <c r="K347" t="s">
        <v>21</v>
      </c>
      <c r="L347" t="s">
        <v>18</v>
      </c>
      <c r="M347">
        <v>0</v>
      </c>
      <c r="N347">
        <v>5</v>
      </c>
      <c r="O347" t="s">
        <v>154</v>
      </c>
      <c r="P347" t="s">
        <v>113</v>
      </c>
    </row>
    <row r="348" spans="1:16" x14ac:dyDescent="0.3">
      <c r="A348">
        <v>406</v>
      </c>
      <c r="B348" t="s">
        <v>24</v>
      </c>
      <c r="C348" t="s">
        <v>405</v>
      </c>
      <c r="D348" s="6">
        <v>41384</v>
      </c>
      <c r="E348" t="s">
        <v>77</v>
      </c>
      <c r="F348" t="s">
        <v>26</v>
      </c>
      <c r="G348" t="s">
        <v>27</v>
      </c>
      <c r="H348" t="s">
        <v>19</v>
      </c>
      <c r="I348" t="s">
        <v>27</v>
      </c>
      <c r="J348" t="s">
        <v>40</v>
      </c>
      <c r="K348" t="s">
        <v>21</v>
      </c>
      <c r="L348" t="s">
        <v>19</v>
      </c>
      <c r="M348">
        <v>0</v>
      </c>
      <c r="N348">
        <v>4</v>
      </c>
      <c r="O348" t="s">
        <v>236</v>
      </c>
      <c r="P348" t="s">
        <v>108</v>
      </c>
    </row>
    <row r="349" spans="1:16" x14ac:dyDescent="0.3">
      <c r="A349">
        <v>407</v>
      </c>
      <c r="B349" t="s">
        <v>105</v>
      </c>
      <c r="C349" t="s">
        <v>405</v>
      </c>
      <c r="D349" s="6">
        <v>41384</v>
      </c>
      <c r="E349" t="s">
        <v>251</v>
      </c>
      <c r="F349" t="s">
        <v>60</v>
      </c>
      <c r="G349" t="s">
        <v>31</v>
      </c>
      <c r="H349" t="s">
        <v>50</v>
      </c>
      <c r="I349" t="s">
        <v>50</v>
      </c>
      <c r="J349" t="s">
        <v>20</v>
      </c>
      <c r="K349" t="s">
        <v>21</v>
      </c>
      <c r="L349" t="s">
        <v>50</v>
      </c>
      <c r="M349">
        <v>0</v>
      </c>
      <c r="N349">
        <v>7</v>
      </c>
      <c r="O349" t="s">
        <v>224</v>
      </c>
      <c r="P349" t="s">
        <v>34</v>
      </c>
    </row>
    <row r="350" spans="1:16" x14ac:dyDescent="0.3">
      <c r="A350">
        <v>408</v>
      </c>
      <c r="B350" t="s">
        <v>35</v>
      </c>
      <c r="C350" t="s">
        <v>405</v>
      </c>
      <c r="D350" s="6">
        <v>41385</v>
      </c>
      <c r="E350" t="s">
        <v>214</v>
      </c>
      <c r="F350" t="s">
        <v>37</v>
      </c>
      <c r="G350" t="s">
        <v>39</v>
      </c>
      <c r="H350" t="s">
        <v>38</v>
      </c>
      <c r="I350" t="s">
        <v>39</v>
      </c>
      <c r="J350" t="s">
        <v>40</v>
      </c>
      <c r="K350" t="s">
        <v>21</v>
      </c>
      <c r="L350" t="s">
        <v>38</v>
      </c>
      <c r="M350">
        <v>0</v>
      </c>
      <c r="N350">
        <v>9</v>
      </c>
      <c r="O350" t="s">
        <v>154</v>
      </c>
      <c r="P350" t="s">
        <v>23</v>
      </c>
    </row>
    <row r="351" spans="1:16" x14ac:dyDescent="0.3">
      <c r="A351">
        <v>409</v>
      </c>
      <c r="B351" t="s">
        <v>123</v>
      </c>
      <c r="C351" t="s">
        <v>405</v>
      </c>
      <c r="D351" s="6">
        <v>41385</v>
      </c>
      <c r="E351" t="s">
        <v>241</v>
      </c>
      <c r="F351" t="s">
        <v>188</v>
      </c>
      <c r="G351" t="s">
        <v>235</v>
      </c>
      <c r="H351" t="s">
        <v>45</v>
      </c>
      <c r="I351" t="s">
        <v>45</v>
      </c>
      <c r="J351" t="s">
        <v>20</v>
      </c>
      <c r="K351" t="s">
        <v>21</v>
      </c>
      <c r="L351" t="s">
        <v>45</v>
      </c>
      <c r="M351">
        <v>0</v>
      </c>
      <c r="N351">
        <v>7</v>
      </c>
      <c r="O351" t="s">
        <v>125</v>
      </c>
      <c r="P351" t="s">
        <v>186</v>
      </c>
    </row>
    <row r="352" spans="1:16" x14ac:dyDescent="0.3">
      <c r="A352">
        <v>410</v>
      </c>
      <c r="B352" t="s">
        <v>98</v>
      </c>
      <c r="C352" t="s">
        <v>405</v>
      </c>
      <c r="D352" s="6">
        <v>41386</v>
      </c>
      <c r="E352" t="s">
        <v>215</v>
      </c>
      <c r="F352" t="s">
        <v>100</v>
      </c>
      <c r="G352" t="s">
        <v>31</v>
      </c>
      <c r="H352" t="s">
        <v>19</v>
      </c>
      <c r="I352" t="s">
        <v>31</v>
      </c>
      <c r="J352" t="s">
        <v>40</v>
      </c>
      <c r="K352" t="s">
        <v>21</v>
      </c>
      <c r="L352" t="s">
        <v>19</v>
      </c>
      <c r="M352">
        <v>0</v>
      </c>
      <c r="N352">
        <v>5</v>
      </c>
      <c r="O352" t="s">
        <v>237</v>
      </c>
      <c r="P352" t="s">
        <v>108</v>
      </c>
    </row>
    <row r="353" spans="1:16" x14ac:dyDescent="0.3">
      <c r="A353">
        <v>411</v>
      </c>
      <c r="B353" t="s">
        <v>105</v>
      </c>
      <c r="C353" t="s">
        <v>405</v>
      </c>
      <c r="D353" s="6">
        <v>41387</v>
      </c>
      <c r="E353" t="s">
        <v>92</v>
      </c>
      <c r="F353" t="s">
        <v>60</v>
      </c>
      <c r="G353" t="s">
        <v>50</v>
      </c>
      <c r="H353" t="s">
        <v>235</v>
      </c>
      <c r="I353" t="s">
        <v>235</v>
      </c>
      <c r="J353" t="s">
        <v>20</v>
      </c>
      <c r="K353" t="s">
        <v>21</v>
      </c>
      <c r="L353" t="s">
        <v>50</v>
      </c>
      <c r="M353">
        <v>130</v>
      </c>
      <c r="N353">
        <v>0</v>
      </c>
      <c r="O353" t="s">
        <v>224</v>
      </c>
      <c r="P353" t="s">
        <v>34</v>
      </c>
    </row>
    <row r="354" spans="1:16" x14ac:dyDescent="0.3">
      <c r="A354">
        <v>412</v>
      </c>
      <c r="B354" t="s">
        <v>238</v>
      </c>
      <c r="C354" t="s">
        <v>405</v>
      </c>
      <c r="D354" s="6">
        <v>41410</v>
      </c>
      <c r="E354" t="s">
        <v>241</v>
      </c>
      <c r="F354" t="s">
        <v>240</v>
      </c>
      <c r="G354" t="s">
        <v>45</v>
      </c>
      <c r="H354" t="s">
        <v>38</v>
      </c>
      <c r="I354" t="s">
        <v>38</v>
      </c>
      <c r="J354" t="s">
        <v>20</v>
      </c>
      <c r="K354" t="s">
        <v>21</v>
      </c>
      <c r="L354" t="s">
        <v>45</v>
      </c>
      <c r="M354">
        <v>7</v>
      </c>
      <c r="N354">
        <v>0</v>
      </c>
      <c r="O354" t="s">
        <v>154</v>
      </c>
      <c r="P354" t="s">
        <v>23</v>
      </c>
    </row>
    <row r="355" spans="1:16" x14ac:dyDescent="0.3">
      <c r="A355">
        <v>413</v>
      </c>
      <c r="B355" t="s">
        <v>24</v>
      </c>
      <c r="C355" t="s">
        <v>405</v>
      </c>
      <c r="D355" s="6">
        <v>41388</v>
      </c>
      <c r="E355" t="s">
        <v>126</v>
      </c>
      <c r="F355" t="s">
        <v>26</v>
      </c>
      <c r="G355" t="s">
        <v>27</v>
      </c>
      <c r="H355" t="s">
        <v>39</v>
      </c>
      <c r="I355" t="s">
        <v>27</v>
      </c>
      <c r="J355" t="s">
        <v>40</v>
      </c>
      <c r="K355" t="s">
        <v>21</v>
      </c>
      <c r="L355" t="s">
        <v>39</v>
      </c>
      <c r="M355">
        <v>0</v>
      </c>
      <c r="N355">
        <v>5</v>
      </c>
      <c r="O355" t="s">
        <v>154</v>
      </c>
      <c r="P355" t="s">
        <v>23</v>
      </c>
    </row>
    <row r="356" spans="1:16" x14ac:dyDescent="0.3">
      <c r="A356">
        <v>414</v>
      </c>
      <c r="B356" t="s">
        <v>98</v>
      </c>
      <c r="C356" t="s">
        <v>405</v>
      </c>
      <c r="D356" s="6">
        <v>41389</v>
      </c>
      <c r="E356" t="s">
        <v>87</v>
      </c>
      <c r="F356" t="s">
        <v>100</v>
      </c>
      <c r="G356" t="s">
        <v>18</v>
      </c>
      <c r="H356" t="s">
        <v>19</v>
      </c>
      <c r="I356" t="s">
        <v>18</v>
      </c>
      <c r="J356" t="s">
        <v>40</v>
      </c>
      <c r="K356" t="s">
        <v>21</v>
      </c>
      <c r="L356" t="s">
        <v>19</v>
      </c>
      <c r="M356">
        <v>0</v>
      </c>
      <c r="N356">
        <v>5</v>
      </c>
      <c r="O356" t="s">
        <v>224</v>
      </c>
      <c r="P356" t="s">
        <v>245</v>
      </c>
    </row>
    <row r="357" spans="1:16" x14ac:dyDescent="0.3">
      <c r="A357">
        <v>415</v>
      </c>
      <c r="B357" t="s">
        <v>24</v>
      </c>
      <c r="C357" t="s">
        <v>405</v>
      </c>
      <c r="D357" s="6">
        <v>41390</v>
      </c>
      <c r="E357" t="s">
        <v>230</v>
      </c>
      <c r="F357" t="s">
        <v>26</v>
      </c>
      <c r="G357" t="s">
        <v>45</v>
      </c>
      <c r="H357" t="s">
        <v>27</v>
      </c>
      <c r="I357" t="s">
        <v>45</v>
      </c>
      <c r="J357" t="s">
        <v>40</v>
      </c>
      <c r="K357" t="s">
        <v>21</v>
      </c>
      <c r="L357" t="s">
        <v>27</v>
      </c>
      <c r="M357">
        <v>0</v>
      </c>
      <c r="N357">
        <v>6</v>
      </c>
      <c r="O357" t="s">
        <v>113</v>
      </c>
      <c r="P357" t="s">
        <v>23</v>
      </c>
    </row>
    <row r="358" spans="1:16" x14ac:dyDescent="0.3">
      <c r="A358">
        <v>416</v>
      </c>
      <c r="B358" t="s">
        <v>47</v>
      </c>
      <c r="C358" t="s">
        <v>405</v>
      </c>
      <c r="D358" s="6">
        <v>41391</v>
      </c>
      <c r="E358" t="s">
        <v>211</v>
      </c>
      <c r="F358" t="s">
        <v>49</v>
      </c>
      <c r="G358" t="s">
        <v>18</v>
      </c>
      <c r="H358" t="s">
        <v>31</v>
      </c>
      <c r="I358" t="s">
        <v>18</v>
      </c>
      <c r="J358" t="s">
        <v>40</v>
      </c>
      <c r="K358" t="s">
        <v>21</v>
      </c>
      <c r="L358" t="s">
        <v>31</v>
      </c>
      <c r="M358">
        <v>0</v>
      </c>
      <c r="N358">
        <v>8</v>
      </c>
      <c r="O358" t="s">
        <v>178</v>
      </c>
      <c r="P358" t="s">
        <v>186</v>
      </c>
    </row>
    <row r="359" spans="1:16" x14ac:dyDescent="0.3">
      <c r="A359">
        <v>417</v>
      </c>
      <c r="B359" t="s">
        <v>15</v>
      </c>
      <c r="C359" t="s">
        <v>405</v>
      </c>
      <c r="D359" s="6">
        <v>41391</v>
      </c>
      <c r="E359" t="s">
        <v>126</v>
      </c>
      <c r="F359" t="s">
        <v>17</v>
      </c>
      <c r="G359" t="s">
        <v>39</v>
      </c>
      <c r="H359" t="s">
        <v>50</v>
      </c>
      <c r="I359" t="s">
        <v>39</v>
      </c>
      <c r="J359" t="s">
        <v>40</v>
      </c>
      <c r="K359" t="s">
        <v>21</v>
      </c>
      <c r="L359" t="s">
        <v>39</v>
      </c>
      <c r="M359">
        <v>58</v>
      </c>
      <c r="N359">
        <v>0</v>
      </c>
      <c r="O359" t="s">
        <v>236</v>
      </c>
      <c r="P359" t="s">
        <v>237</v>
      </c>
    </row>
    <row r="360" spans="1:16" x14ac:dyDescent="0.3">
      <c r="A360">
        <v>418</v>
      </c>
      <c r="B360" t="s">
        <v>98</v>
      </c>
      <c r="C360" t="s">
        <v>405</v>
      </c>
      <c r="D360" s="6">
        <v>41392</v>
      </c>
      <c r="E360" t="s">
        <v>215</v>
      </c>
      <c r="F360" t="s">
        <v>100</v>
      </c>
      <c r="G360" t="s">
        <v>19</v>
      </c>
      <c r="H360" t="s">
        <v>27</v>
      </c>
      <c r="I360" t="s">
        <v>27</v>
      </c>
      <c r="J360" t="s">
        <v>20</v>
      </c>
      <c r="K360" t="s">
        <v>21</v>
      </c>
      <c r="L360" t="s">
        <v>19</v>
      </c>
      <c r="M360">
        <v>14</v>
      </c>
      <c r="N360">
        <v>0</v>
      </c>
      <c r="O360" t="s">
        <v>224</v>
      </c>
      <c r="P360" t="s">
        <v>231</v>
      </c>
    </row>
    <row r="361" spans="1:16" x14ac:dyDescent="0.3">
      <c r="A361">
        <v>419</v>
      </c>
      <c r="B361" t="s">
        <v>158</v>
      </c>
      <c r="C361" t="s">
        <v>405</v>
      </c>
      <c r="D361" s="6">
        <v>41392</v>
      </c>
      <c r="E361" t="s">
        <v>134</v>
      </c>
      <c r="F361" t="s">
        <v>160</v>
      </c>
      <c r="G361" t="s">
        <v>38</v>
      </c>
      <c r="H361" t="s">
        <v>235</v>
      </c>
      <c r="I361" t="s">
        <v>235</v>
      </c>
      <c r="J361" t="s">
        <v>20</v>
      </c>
      <c r="K361" t="s">
        <v>21</v>
      </c>
      <c r="L361" t="s">
        <v>38</v>
      </c>
      <c r="M361">
        <v>15</v>
      </c>
      <c r="N361">
        <v>0</v>
      </c>
      <c r="O361" t="s">
        <v>113</v>
      </c>
      <c r="P361" t="s">
        <v>23</v>
      </c>
    </row>
    <row r="362" spans="1:16" x14ac:dyDescent="0.3">
      <c r="A362">
        <v>420</v>
      </c>
      <c r="B362" t="s">
        <v>47</v>
      </c>
      <c r="C362" t="s">
        <v>405</v>
      </c>
      <c r="D362" s="6">
        <v>41393</v>
      </c>
      <c r="E362" t="s">
        <v>95</v>
      </c>
      <c r="F362" t="s">
        <v>49</v>
      </c>
      <c r="G362" t="s">
        <v>50</v>
      </c>
      <c r="H362" t="s">
        <v>31</v>
      </c>
      <c r="I362" t="s">
        <v>31</v>
      </c>
      <c r="J362" t="s">
        <v>20</v>
      </c>
      <c r="K362" t="s">
        <v>21</v>
      </c>
      <c r="L362" t="s">
        <v>31</v>
      </c>
      <c r="M362">
        <v>0</v>
      </c>
      <c r="N362">
        <v>4</v>
      </c>
      <c r="O362" t="s">
        <v>125</v>
      </c>
      <c r="P362" t="s">
        <v>186</v>
      </c>
    </row>
    <row r="363" spans="1:16" x14ac:dyDescent="0.3">
      <c r="A363">
        <v>421</v>
      </c>
      <c r="B363" t="s">
        <v>15</v>
      </c>
      <c r="C363" t="s">
        <v>405</v>
      </c>
      <c r="D363" s="6">
        <v>41393</v>
      </c>
      <c r="E363" t="s">
        <v>83</v>
      </c>
      <c r="F363" t="s">
        <v>17</v>
      </c>
      <c r="G363" t="s">
        <v>39</v>
      </c>
      <c r="H363" t="s">
        <v>45</v>
      </c>
      <c r="I363" t="s">
        <v>39</v>
      </c>
      <c r="J363" t="s">
        <v>40</v>
      </c>
      <c r="K363" t="s">
        <v>21</v>
      </c>
      <c r="L363" t="s">
        <v>39</v>
      </c>
      <c r="M363">
        <v>4</v>
      </c>
      <c r="N363">
        <v>0</v>
      </c>
      <c r="O363" t="s">
        <v>236</v>
      </c>
      <c r="P363" t="s">
        <v>108</v>
      </c>
    </row>
    <row r="364" spans="1:16" x14ac:dyDescent="0.3">
      <c r="A364">
        <v>422</v>
      </c>
      <c r="B364" t="s">
        <v>42</v>
      </c>
      <c r="C364" t="s">
        <v>405</v>
      </c>
      <c r="D364" s="6">
        <v>41394</v>
      </c>
      <c r="E364" t="s">
        <v>87</v>
      </c>
      <c r="F364" t="s">
        <v>234</v>
      </c>
      <c r="G364" t="s">
        <v>19</v>
      </c>
      <c r="H364" t="s">
        <v>235</v>
      </c>
      <c r="I364" t="s">
        <v>19</v>
      </c>
      <c r="J364" t="s">
        <v>40</v>
      </c>
      <c r="K364" t="s">
        <v>21</v>
      </c>
      <c r="L364" t="s">
        <v>19</v>
      </c>
      <c r="M364">
        <v>37</v>
      </c>
      <c r="N364">
        <v>0</v>
      </c>
      <c r="O364" t="s">
        <v>245</v>
      </c>
      <c r="P364" t="s">
        <v>231</v>
      </c>
    </row>
    <row r="365" spans="1:16" x14ac:dyDescent="0.3">
      <c r="A365">
        <v>423</v>
      </c>
      <c r="B365" t="s">
        <v>53</v>
      </c>
      <c r="C365" t="s">
        <v>405</v>
      </c>
      <c r="D365" s="6">
        <v>41395</v>
      </c>
      <c r="E365" t="s">
        <v>249</v>
      </c>
      <c r="F365" t="s">
        <v>55</v>
      </c>
      <c r="G365" t="s">
        <v>39</v>
      </c>
      <c r="H365" t="s">
        <v>18</v>
      </c>
      <c r="I365" t="s">
        <v>39</v>
      </c>
      <c r="J365" t="s">
        <v>40</v>
      </c>
      <c r="K365" t="s">
        <v>21</v>
      </c>
      <c r="L365" t="s">
        <v>18</v>
      </c>
      <c r="M365">
        <v>0</v>
      </c>
      <c r="N365">
        <v>7</v>
      </c>
      <c r="O365" t="s">
        <v>236</v>
      </c>
      <c r="P365" t="s">
        <v>237</v>
      </c>
    </row>
    <row r="366" spans="1:16" x14ac:dyDescent="0.3">
      <c r="A366">
        <v>424</v>
      </c>
      <c r="B366" t="s">
        <v>158</v>
      </c>
      <c r="C366" t="s">
        <v>405</v>
      </c>
      <c r="D366" s="6">
        <v>41395</v>
      </c>
      <c r="E366" t="s">
        <v>134</v>
      </c>
      <c r="F366" t="s">
        <v>160</v>
      </c>
      <c r="G366" t="s">
        <v>27</v>
      </c>
      <c r="H366" t="s">
        <v>38</v>
      </c>
      <c r="I366" t="s">
        <v>27</v>
      </c>
      <c r="J366" t="s">
        <v>40</v>
      </c>
      <c r="K366" t="s">
        <v>21</v>
      </c>
      <c r="L366" t="s">
        <v>38</v>
      </c>
      <c r="M366">
        <v>0</v>
      </c>
      <c r="N366">
        <v>7</v>
      </c>
      <c r="O366" t="s">
        <v>154</v>
      </c>
      <c r="P366" t="s">
        <v>113</v>
      </c>
    </row>
    <row r="367" spans="1:16" x14ac:dyDescent="0.3">
      <c r="A367">
        <v>425</v>
      </c>
      <c r="B367" t="s">
        <v>98</v>
      </c>
      <c r="C367" t="s">
        <v>405</v>
      </c>
      <c r="D367" s="6">
        <v>41396</v>
      </c>
      <c r="E367" t="s">
        <v>144</v>
      </c>
      <c r="F367" t="s">
        <v>100</v>
      </c>
      <c r="G367" t="s">
        <v>19</v>
      </c>
      <c r="H367" t="s">
        <v>45</v>
      </c>
      <c r="I367" t="s">
        <v>19</v>
      </c>
      <c r="J367" t="s">
        <v>40</v>
      </c>
      <c r="K367" t="s">
        <v>21</v>
      </c>
      <c r="L367" t="s">
        <v>19</v>
      </c>
      <c r="M367">
        <v>15</v>
      </c>
      <c r="N367">
        <v>0</v>
      </c>
      <c r="O367" t="s">
        <v>125</v>
      </c>
      <c r="P367" t="s">
        <v>178</v>
      </c>
    </row>
    <row r="368" spans="1:16" x14ac:dyDescent="0.3">
      <c r="A368">
        <v>426</v>
      </c>
      <c r="B368" t="s">
        <v>42</v>
      </c>
      <c r="C368" t="s">
        <v>405</v>
      </c>
      <c r="D368" s="6">
        <v>41396</v>
      </c>
      <c r="E368" t="s">
        <v>59</v>
      </c>
      <c r="F368" t="s">
        <v>234</v>
      </c>
      <c r="G368" t="s">
        <v>50</v>
      </c>
      <c r="H368" t="s">
        <v>235</v>
      </c>
      <c r="I368" t="s">
        <v>50</v>
      </c>
      <c r="J368" t="s">
        <v>40</v>
      </c>
      <c r="K368" t="s">
        <v>21</v>
      </c>
      <c r="L368" t="s">
        <v>50</v>
      </c>
      <c r="M368">
        <v>17</v>
      </c>
      <c r="N368">
        <v>0</v>
      </c>
      <c r="O368" t="s">
        <v>224</v>
      </c>
      <c r="P368" t="s">
        <v>34</v>
      </c>
    </row>
    <row r="369" spans="1:16" x14ac:dyDescent="0.3">
      <c r="A369">
        <v>427</v>
      </c>
      <c r="B369" t="s">
        <v>24</v>
      </c>
      <c r="C369" t="s">
        <v>405</v>
      </c>
      <c r="D369" s="6">
        <v>41397</v>
      </c>
      <c r="E369" t="s">
        <v>157</v>
      </c>
      <c r="F369" t="s">
        <v>26</v>
      </c>
      <c r="G369" t="s">
        <v>31</v>
      </c>
      <c r="H369" t="s">
        <v>27</v>
      </c>
      <c r="I369" t="s">
        <v>31</v>
      </c>
      <c r="J369" t="s">
        <v>40</v>
      </c>
      <c r="K369" t="s">
        <v>21</v>
      </c>
      <c r="L369" t="s">
        <v>27</v>
      </c>
      <c r="M369">
        <v>0</v>
      </c>
      <c r="N369">
        <v>8</v>
      </c>
      <c r="O369" t="s">
        <v>154</v>
      </c>
      <c r="P369" t="s">
        <v>113</v>
      </c>
    </row>
    <row r="370" spans="1:16" x14ac:dyDescent="0.3">
      <c r="A370">
        <v>428</v>
      </c>
      <c r="B370" t="s">
        <v>53</v>
      </c>
      <c r="C370" t="s">
        <v>405</v>
      </c>
      <c r="D370" s="6">
        <v>41398</v>
      </c>
      <c r="E370" t="s">
        <v>248</v>
      </c>
      <c r="F370" t="s">
        <v>55</v>
      </c>
      <c r="G370" t="s">
        <v>38</v>
      </c>
      <c r="H370" t="s">
        <v>18</v>
      </c>
      <c r="I370" t="s">
        <v>38</v>
      </c>
      <c r="J370" t="s">
        <v>40</v>
      </c>
      <c r="K370" t="s">
        <v>21</v>
      </c>
      <c r="L370" t="s">
        <v>18</v>
      </c>
      <c r="M370">
        <v>0</v>
      </c>
      <c r="N370">
        <v>6</v>
      </c>
      <c r="O370" t="s">
        <v>236</v>
      </c>
      <c r="P370" t="s">
        <v>237</v>
      </c>
    </row>
    <row r="371" spans="1:16" x14ac:dyDescent="0.3">
      <c r="A371">
        <v>429</v>
      </c>
      <c r="B371" t="s">
        <v>105</v>
      </c>
      <c r="C371" t="s">
        <v>405</v>
      </c>
      <c r="D371" s="6">
        <v>41408</v>
      </c>
      <c r="E371" t="s">
        <v>243</v>
      </c>
      <c r="F371" t="s">
        <v>60</v>
      </c>
      <c r="G371" t="s">
        <v>50</v>
      </c>
      <c r="H371" t="s">
        <v>45</v>
      </c>
      <c r="I371" t="s">
        <v>45</v>
      </c>
      <c r="J371" t="s">
        <v>20</v>
      </c>
      <c r="K371" t="s">
        <v>21</v>
      </c>
      <c r="L371" t="s">
        <v>45</v>
      </c>
      <c r="M371">
        <v>0</v>
      </c>
      <c r="N371">
        <v>7</v>
      </c>
      <c r="O371" t="s">
        <v>154</v>
      </c>
      <c r="P371" t="s">
        <v>23</v>
      </c>
    </row>
    <row r="372" spans="1:16" x14ac:dyDescent="0.3">
      <c r="A372">
        <v>430</v>
      </c>
      <c r="B372" t="s">
        <v>15</v>
      </c>
      <c r="C372" t="s">
        <v>405</v>
      </c>
      <c r="D372" s="6">
        <v>41399</v>
      </c>
      <c r="E372" t="s">
        <v>244</v>
      </c>
      <c r="F372" t="s">
        <v>17</v>
      </c>
      <c r="G372" t="s">
        <v>39</v>
      </c>
      <c r="H372" t="s">
        <v>19</v>
      </c>
      <c r="I372" t="s">
        <v>39</v>
      </c>
      <c r="J372" t="s">
        <v>40</v>
      </c>
      <c r="K372" t="s">
        <v>21</v>
      </c>
      <c r="L372" t="s">
        <v>39</v>
      </c>
      <c r="M372">
        <v>60</v>
      </c>
      <c r="N372">
        <v>0</v>
      </c>
      <c r="O372" t="s">
        <v>154</v>
      </c>
      <c r="P372" t="s">
        <v>113</v>
      </c>
    </row>
    <row r="373" spans="1:16" x14ac:dyDescent="0.3">
      <c r="A373">
        <v>431</v>
      </c>
      <c r="B373" t="s">
        <v>47</v>
      </c>
      <c r="C373" t="s">
        <v>405</v>
      </c>
      <c r="D373" s="6">
        <v>41399</v>
      </c>
      <c r="E373" t="s">
        <v>171</v>
      </c>
      <c r="F373" t="s">
        <v>49</v>
      </c>
      <c r="G373" t="s">
        <v>235</v>
      </c>
      <c r="H373" t="s">
        <v>31</v>
      </c>
      <c r="I373" t="s">
        <v>235</v>
      </c>
      <c r="J373" t="s">
        <v>40</v>
      </c>
      <c r="K373" t="s">
        <v>21</v>
      </c>
      <c r="L373" t="s">
        <v>31</v>
      </c>
      <c r="M373">
        <v>0</v>
      </c>
      <c r="N373">
        <v>5</v>
      </c>
      <c r="O373" t="s">
        <v>34</v>
      </c>
      <c r="P373" t="s">
        <v>170</v>
      </c>
    </row>
    <row r="374" spans="1:16" x14ac:dyDescent="0.3">
      <c r="A374">
        <v>432</v>
      </c>
      <c r="B374" t="s">
        <v>105</v>
      </c>
      <c r="C374" t="s">
        <v>405</v>
      </c>
      <c r="D374" s="6">
        <v>41373</v>
      </c>
      <c r="E374" t="s">
        <v>159</v>
      </c>
      <c r="F374" t="s">
        <v>60</v>
      </c>
      <c r="G374" t="s">
        <v>18</v>
      </c>
      <c r="H374" t="s">
        <v>50</v>
      </c>
      <c r="I374" t="s">
        <v>18</v>
      </c>
      <c r="J374" t="s">
        <v>40</v>
      </c>
      <c r="K374" t="s">
        <v>21</v>
      </c>
      <c r="L374" t="s">
        <v>50</v>
      </c>
      <c r="M374">
        <v>0</v>
      </c>
      <c r="N374">
        <v>7</v>
      </c>
      <c r="O374" t="s">
        <v>23</v>
      </c>
      <c r="P374" t="s">
        <v>231</v>
      </c>
    </row>
    <row r="375" spans="1:16" x14ac:dyDescent="0.3">
      <c r="A375">
        <v>433</v>
      </c>
      <c r="B375" t="s">
        <v>47</v>
      </c>
      <c r="C375" t="s">
        <v>405</v>
      </c>
      <c r="D375" s="6">
        <v>41401</v>
      </c>
      <c r="E375" t="s">
        <v>171</v>
      </c>
      <c r="F375" t="s">
        <v>49</v>
      </c>
      <c r="G375" t="s">
        <v>38</v>
      </c>
      <c r="H375" t="s">
        <v>31</v>
      </c>
      <c r="I375" t="s">
        <v>38</v>
      </c>
      <c r="J375" t="s">
        <v>40</v>
      </c>
      <c r="K375" t="s">
        <v>21</v>
      </c>
      <c r="L375" t="s">
        <v>31</v>
      </c>
      <c r="M375">
        <v>0</v>
      </c>
      <c r="N375">
        <v>9</v>
      </c>
      <c r="O375" t="s">
        <v>224</v>
      </c>
      <c r="P375" t="s">
        <v>170</v>
      </c>
    </row>
    <row r="376" spans="1:16" x14ac:dyDescent="0.3">
      <c r="A376">
        <v>434</v>
      </c>
      <c r="B376" t="s">
        <v>15</v>
      </c>
      <c r="C376" t="s">
        <v>405</v>
      </c>
      <c r="D376" s="6">
        <v>41401</v>
      </c>
      <c r="E376" t="s">
        <v>247</v>
      </c>
      <c r="F376" t="s">
        <v>17</v>
      </c>
      <c r="G376" t="s">
        <v>39</v>
      </c>
      <c r="H376" t="s">
        <v>27</v>
      </c>
      <c r="I376" t="s">
        <v>39</v>
      </c>
      <c r="J376" t="s">
        <v>40</v>
      </c>
      <c r="K376" t="s">
        <v>21</v>
      </c>
      <c r="L376" t="s">
        <v>39</v>
      </c>
      <c r="M376">
        <v>65</v>
      </c>
      <c r="N376">
        <v>0</v>
      </c>
      <c r="O376" t="s">
        <v>154</v>
      </c>
      <c r="P376" t="s">
        <v>23</v>
      </c>
    </row>
    <row r="377" spans="1:16" x14ac:dyDescent="0.3">
      <c r="A377">
        <v>435</v>
      </c>
      <c r="B377" t="s">
        <v>53</v>
      </c>
      <c r="C377" t="s">
        <v>405</v>
      </c>
      <c r="D377" s="6">
        <v>41402</v>
      </c>
      <c r="E377" t="s">
        <v>144</v>
      </c>
      <c r="F377" t="s">
        <v>55</v>
      </c>
      <c r="G377" t="s">
        <v>19</v>
      </c>
      <c r="H377" t="s">
        <v>18</v>
      </c>
      <c r="I377" t="s">
        <v>18</v>
      </c>
      <c r="J377" t="s">
        <v>20</v>
      </c>
      <c r="K377" t="s">
        <v>21</v>
      </c>
      <c r="L377" t="s">
        <v>19</v>
      </c>
      <c r="M377">
        <v>77</v>
      </c>
      <c r="N377">
        <v>0</v>
      </c>
      <c r="O377" t="s">
        <v>245</v>
      </c>
      <c r="P377" t="s">
        <v>104</v>
      </c>
    </row>
    <row r="378" spans="1:16" x14ac:dyDescent="0.3">
      <c r="A378">
        <v>436</v>
      </c>
      <c r="B378" t="s">
        <v>123</v>
      </c>
      <c r="C378" t="s">
        <v>405</v>
      </c>
      <c r="D378" s="6">
        <v>41403</v>
      </c>
      <c r="E378" t="s">
        <v>246</v>
      </c>
      <c r="F378" t="s">
        <v>188</v>
      </c>
      <c r="G378" t="s">
        <v>45</v>
      </c>
      <c r="H378" t="s">
        <v>31</v>
      </c>
      <c r="I378" t="s">
        <v>31</v>
      </c>
      <c r="J378" t="s">
        <v>20</v>
      </c>
      <c r="K378" t="s">
        <v>21</v>
      </c>
      <c r="L378" t="s">
        <v>31</v>
      </c>
      <c r="M378">
        <v>0</v>
      </c>
      <c r="N378">
        <v>8</v>
      </c>
      <c r="O378" t="s">
        <v>154</v>
      </c>
      <c r="P378" t="s">
        <v>23</v>
      </c>
    </row>
    <row r="379" spans="1:16" x14ac:dyDescent="0.3">
      <c r="A379">
        <v>437</v>
      </c>
      <c r="B379" t="s">
        <v>42</v>
      </c>
      <c r="C379" t="s">
        <v>405</v>
      </c>
      <c r="D379" s="6">
        <v>41403</v>
      </c>
      <c r="E379" t="s">
        <v>139</v>
      </c>
      <c r="F379" t="s">
        <v>234</v>
      </c>
      <c r="G379" t="s">
        <v>27</v>
      </c>
      <c r="H379" t="s">
        <v>235</v>
      </c>
      <c r="I379" t="s">
        <v>27</v>
      </c>
      <c r="J379" t="s">
        <v>40</v>
      </c>
      <c r="K379" t="s">
        <v>21</v>
      </c>
      <c r="L379" t="s">
        <v>27</v>
      </c>
      <c r="M379">
        <v>46</v>
      </c>
      <c r="N379">
        <v>0</v>
      </c>
      <c r="O379" t="s">
        <v>236</v>
      </c>
      <c r="P379" t="s">
        <v>237</v>
      </c>
    </row>
    <row r="380" spans="1:16" x14ac:dyDescent="0.3">
      <c r="A380">
        <v>438</v>
      </c>
      <c r="B380" t="s">
        <v>35</v>
      </c>
      <c r="C380" t="s">
        <v>405</v>
      </c>
      <c r="D380" s="6">
        <v>41404</v>
      </c>
      <c r="E380" t="s">
        <v>110</v>
      </c>
      <c r="F380" t="s">
        <v>37</v>
      </c>
      <c r="G380" t="s">
        <v>50</v>
      </c>
      <c r="H380" t="s">
        <v>38</v>
      </c>
      <c r="I380" t="s">
        <v>38</v>
      </c>
      <c r="J380" t="s">
        <v>20</v>
      </c>
      <c r="K380" t="s">
        <v>21</v>
      </c>
      <c r="L380" t="s">
        <v>50</v>
      </c>
      <c r="M380">
        <v>4</v>
      </c>
      <c r="N380">
        <v>0</v>
      </c>
      <c r="O380" t="s">
        <v>104</v>
      </c>
      <c r="P380" t="s">
        <v>186</v>
      </c>
    </row>
    <row r="381" spans="1:16" x14ac:dyDescent="0.3">
      <c r="A381">
        <v>439</v>
      </c>
      <c r="B381" t="s">
        <v>42</v>
      </c>
      <c r="C381" t="s">
        <v>405</v>
      </c>
      <c r="D381" s="6">
        <v>41405</v>
      </c>
      <c r="E381" t="s">
        <v>244</v>
      </c>
      <c r="F381" t="s">
        <v>234</v>
      </c>
      <c r="G381" t="s">
        <v>235</v>
      </c>
      <c r="H381" t="s">
        <v>39</v>
      </c>
      <c r="I381" t="s">
        <v>235</v>
      </c>
      <c r="J381" t="s">
        <v>40</v>
      </c>
      <c r="K381" t="s">
        <v>21</v>
      </c>
      <c r="L381" t="s">
        <v>39</v>
      </c>
      <c r="M381">
        <v>0</v>
      </c>
      <c r="N381">
        <v>5</v>
      </c>
      <c r="O381" t="s">
        <v>236</v>
      </c>
      <c r="P381" t="s">
        <v>108</v>
      </c>
    </row>
    <row r="382" spans="1:16" x14ac:dyDescent="0.3">
      <c r="A382">
        <v>440</v>
      </c>
      <c r="B382" t="s">
        <v>123</v>
      </c>
      <c r="C382" t="s">
        <v>405</v>
      </c>
      <c r="D382" s="6">
        <v>41405</v>
      </c>
      <c r="E382" t="s">
        <v>173</v>
      </c>
      <c r="F382" t="s">
        <v>188</v>
      </c>
      <c r="G382" t="s">
        <v>18</v>
      </c>
      <c r="H382" t="s">
        <v>45</v>
      </c>
      <c r="I382" t="s">
        <v>45</v>
      </c>
      <c r="J382" t="s">
        <v>20</v>
      </c>
      <c r="K382" t="s">
        <v>21</v>
      </c>
      <c r="L382" t="s">
        <v>18</v>
      </c>
      <c r="M382">
        <v>30</v>
      </c>
      <c r="N382">
        <v>0</v>
      </c>
      <c r="O382" t="s">
        <v>245</v>
      </c>
      <c r="P382" t="s">
        <v>170</v>
      </c>
    </row>
    <row r="383" spans="1:16" x14ac:dyDescent="0.3">
      <c r="A383">
        <v>441</v>
      </c>
      <c r="B383" t="s">
        <v>181</v>
      </c>
      <c r="C383" t="s">
        <v>405</v>
      </c>
      <c r="D383" s="6">
        <v>41406</v>
      </c>
      <c r="E383" t="s">
        <v>230</v>
      </c>
      <c r="F383" t="s">
        <v>182</v>
      </c>
      <c r="G383" t="s">
        <v>50</v>
      </c>
      <c r="H383" t="s">
        <v>27</v>
      </c>
      <c r="I383" t="s">
        <v>27</v>
      </c>
      <c r="J383" t="s">
        <v>20</v>
      </c>
      <c r="K383" t="s">
        <v>21</v>
      </c>
      <c r="L383" t="s">
        <v>27</v>
      </c>
      <c r="M383">
        <v>0</v>
      </c>
      <c r="N383">
        <v>5</v>
      </c>
      <c r="O383" t="s">
        <v>104</v>
      </c>
      <c r="P383" t="s">
        <v>186</v>
      </c>
    </row>
    <row r="384" spans="1:16" x14ac:dyDescent="0.3">
      <c r="A384">
        <v>442</v>
      </c>
      <c r="B384" t="s">
        <v>47</v>
      </c>
      <c r="C384" t="s">
        <v>405</v>
      </c>
      <c r="D384" s="6">
        <v>41406</v>
      </c>
      <c r="E384" t="s">
        <v>16</v>
      </c>
      <c r="F384" t="s">
        <v>49</v>
      </c>
      <c r="G384" t="s">
        <v>19</v>
      </c>
      <c r="H384" t="s">
        <v>31</v>
      </c>
      <c r="I384" t="s">
        <v>31</v>
      </c>
      <c r="J384" t="s">
        <v>20</v>
      </c>
      <c r="K384" t="s">
        <v>21</v>
      </c>
      <c r="L384" t="s">
        <v>31</v>
      </c>
      <c r="M384">
        <v>0</v>
      </c>
      <c r="N384">
        <v>5</v>
      </c>
      <c r="O384" t="s">
        <v>154</v>
      </c>
      <c r="P384" t="s">
        <v>113</v>
      </c>
    </row>
    <row r="385" spans="1:16" x14ac:dyDescent="0.3">
      <c r="A385">
        <v>443</v>
      </c>
      <c r="B385" t="s">
        <v>35</v>
      </c>
      <c r="C385" t="s">
        <v>405</v>
      </c>
      <c r="D385" s="6">
        <v>41387</v>
      </c>
      <c r="E385" t="s">
        <v>250</v>
      </c>
      <c r="F385" t="s">
        <v>37</v>
      </c>
      <c r="G385" t="s">
        <v>38</v>
      </c>
      <c r="H385" t="s">
        <v>45</v>
      </c>
      <c r="I385" t="s">
        <v>45</v>
      </c>
      <c r="J385" t="s">
        <v>20</v>
      </c>
      <c r="K385" t="s">
        <v>21</v>
      </c>
      <c r="L385" t="s">
        <v>45</v>
      </c>
      <c r="M385">
        <v>0</v>
      </c>
      <c r="N385">
        <v>5</v>
      </c>
      <c r="O385" t="s">
        <v>178</v>
      </c>
      <c r="P385" t="s">
        <v>186</v>
      </c>
    </row>
    <row r="386" spans="1:16" x14ac:dyDescent="0.3">
      <c r="A386">
        <v>444</v>
      </c>
      <c r="B386" t="s">
        <v>15</v>
      </c>
      <c r="C386" t="s">
        <v>405</v>
      </c>
      <c r="D386" s="6">
        <v>41407</v>
      </c>
      <c r="E386" t="s">
        <v>147</v>
      </c>
      <c r="F386" t="s">
        <v>17</v>
      </c>
      <c r="G386" t="s">
        <v>18</v>
      </c>
      <c r="H386" t="s">
        <v>39</v>
      </c>
      <c r="I386" t="s">
        <v>18</v>
      </c>
      <c r="J386" t="s">
        <v>40</v>
      </c>
      <c r="K386" t="s">
        <v>21</v>
      </c>
      <c r="L386" t="s">
        <v>39</v>
      </c>
      <c r="M386">
        <v>0</v>
      </c>
      <c r="N386">
        <v>7</v>
      </c>
      <c r="O386" t="s">
        <v>108</v>
      </c>
      <c r="P386" t="s">
        <v>231</v>
      </c>
    </row>
    <row r="387" spans="1:16" x14ac:dyDescent="0.3">
      <c r="A387">
        <v>445</v>
      </c>
      <c r="B387" t="s">
        <v>181</v>
      </c>
      <c r="C387" t="s">
        <v>405</v>
      </c>
      <c r="D387" s="6">
        <v>41409</v>
      </c>
      <c r="E387" t="s">
        <v>213</v>
      </c>
      <c r="F387" t="s">
        <v>182</v>
      </c>
      <c r="G387" t="s">
        <v>235</v>
      </c>
      <c r="H387" t="s">
        <v>27</v>
      </c>
      <c r="I387" t="s">
        <v>27</v>
      </c>
      <c r="J387" t="s">
        <v>20</v>
      </c>
      <c r="K387" t="s">
        <v>21</v>
      </c>
      <c r="L387" t="s">
        <v>235</v>
      </c>
      <c r="M387">
        <v>7</v>
      </c>
      <c r="N387">
        <v>0</v>
      </c>
      <c r="O387" t="s">
        <v>104</v>
      </c>
      <c r="P387" t="s">
        <v>186</v>
      </c>
    </row>
    <row r="388" spans="1:16" x14ac:dyDescent="0.3">
      <c r="A388">
        <v>446</v>
      </c>
      <c r="B388" t="s">
        <v>98</v>
      </c>
      <c r="C388" t="s">
        <v>405</v>
      </c>
      <c r="D388" s="6">
        <v>41408</v>
      </c>
      <c r="E388" t="s">
        <v>87</v>
      </c>
      <c r="F388" t="s">
        <v>100</v>
      </c>
      <c r="G388" t="s">
        <v>19</v>
      </c>
      <c r="H388" t="s">
        <v>38</v>
      </c>
      <c r="I388" t="s">
        <v>19</v>
      </c>
      <c r="J388" t="s">
        <v>40</v>
      </c>
      <c r="K388" t="s">
        <v>21</v>
      </c>
      <c r="L388" t="s">
        <v>19</v>
      </c>
      <c r="M388">
        <v>33</v>
      </c>
      <c r="N388">
        <v>0</v>
      </c>
      <c r="O388" t="s">
        <v>34</v>
      </c>
      <c r="P388" t="s">
        <v>170</v>
      </c>
    </row>
    <row r="389" spans="1:16" x14ac:dyDescent="0.3">
      <c r="A389">
        <v>447</v>
      </c>
      <c r="B389" t="s">
        <v>15</v>
      </c>
      <c r="C389" t="s">
        <v>405</v>
      </c>
      <c r="D389" s="6">
        <v>41409</v>
      </c>
      <c r="E389" t="s">
        <v>242</v>
      </c>
      <c r="F389" t="s">
        <v>17</v>
      </c>
      <c r="G389" t="s">
        <v>39</v>
      </c>
      <c r="H389" t="s">
        <v>31</v>
      </c>
      <c r="I389" t="s">
        <v>31</v>
      </c>
      <c r="J389" t="s">
        <v>20</v>
      </c>
      <c r="K389" t="s">
        <v>21</v>
      </c>
      <c r="L389" t="s">
        <v>39</v>
      </c>
      <c r="M389">
        <v>14</v>
      </c>
      <c r="N389">
        <v>0</v>
      </c>
      <c r="O389" t="s">
        <v>236</v>
      </c>
      <c r="P389" t="s">
        <v>237</v>
      </c>
    </row>
    <row r="390" spans="1:16" x14ac:dyDescent="0.3">
      <c r="A390">
        <v>448</v>
      </c>
      <c r="B390" t="s">
        <v>123</v>
      </c>
      <c r="C390" t="s">
        <v>405</v>
      </c>
      <c r="D390" s="6">
        <v>41400</v>
      </c>
      <c r="E390" t="s">
        <v>241</v>
      </c>
      <c r="F390" t="s">
        <v>188</v>
      </c>
      <c r="G390" t="s">
        <v>50</v>
      </c>
      <c r="H390" t="s">
        <v>45</v>
      </c>
      <c r="I390" t="s">
        <v>45</v>
      </c>
      <c r="J390" t="s">
        <v>20</v>
      </c>
      <c r="K390" t="s">
        <v>21</v>
      </c>
      <c r="L390" t="s">
        <v>45</v>
      </c>
      <c r="M390">
        <v>0</v>
      </c>
      <c r="N390">
        <v>6</v>
      </c>
      <c r="O390" t="s">
        <v>178</v>
      </c>
      <c r="P390" t="s">
        <v>104</v>
      </c>
    </row>
    <row r="391" spans="1:16" x14ac:dyDescent="0.3">
      <c r="A391">
        <v>449</v>
      </c>
      <c r="B391" t="s">
        <v>53</v>
      </c>
      <c r="C391" t="s">
        <v>405</v>
      </c>
      <c r="D391" s="6">
        <v>41411</v>
      </c>
      <c r="E391" t="s">
        <v>36</v>
      </c>
      <c r="F391" t="s">
        <v>55</v>
      </c>
      <c r="G391" t="s">
        <v>18</v>
      </c>
      <c r="H391" t="s">
        <v>31</v>
      </c>
      <c r="I391" t="s">
        <v>18</v>
      </c>
      <c r="J391" t="s">
        <v>40</v>
      </c>
      <c r="K391" t="s">
        <v>21</v>
      </c>
      <c r="L391" t="s">
        <v>18</v>
      </c>
      <c r="M391">
        <v>23</v>
      </c>
      <c r="N391">
        <v>0</v>
      </c>
      <c r="O391" t="s">
        <v>236</v>
      </c>
      <c r="P391" t="s">
        <v>108</v>
      </c>
    </row>
    <row r="392" spans="1:16" x14ac:dyDescent="0.3">
      <c r="A392">
        <v>450</v>
      </c>
      <c r="B392" t="s">
        <v>238</v>
      </c>
      <c r="C392" t="s">
        <v>405</v>
      </c>
      <c r="D392" s="6">
        <v>41412</v>
      </c>
      <c r="E392" t="s">
        <v>239</v>
      </c>
      <c r="F392" t="s">
        <v>240</v>
      </c>
      <c r="G392" t="s">
        <v>45</v>
      </c>
      <c r="H392" t="s">
        <v>39</v>
      </c>
      <c r="I392" t="s">
        <v>39</v>
      </c>
      <c r="J392" t="s">
        <v>20</v>
      </c>
      <c r="K392" t="s">
        <v>21</v>
      </c>
      <c r="L392" t="s">
        <v>45</v>
      </c>
      <c r="M392">
        <v>50</v>
      </c>
      <c r="N392">
        <v>0</v>
      </c>
      <c r="O392" t="s">
        <v>154</v>
      </c>
      <c r="P392" t="s">
        <v>113</v>
      </c>
    </row>
    <row r="393" spans="1:16" x14ac:dyDescent="0.3">
      <c r="A393">
        <v>451</v>
      </c>
      <c r="B393" t="s">
        <v>42</v>
      </c>
      <c r="C393" t="s">
        <v>405</v>
      </c>
      <c r="D393" s="6">
        <v>41413</v>
      </c>
      <c r="E393" t="s">
        <v>233</v>
      </c>
      <c r="F393" t="s">
        <v>234</v>
      </c>
      <c r="G393" t="s">
        <v>235</v>
      </c>
      <c r="H393" t="s">
        <v>38</v>
      </c>
      <c r="I393" t="s">
        <v>235</v>
      </c>
      <c r="J393" t="s">
        <v>40</v>
      </c>
      <c r="K393" t="s">
        <v>21</v>
      </c>
      <c r="L393" t="s">
        <v>235</v>
      </c>
      <c r="M393">
        <v>38</v>
      </c>
      <c r="N393">
        <v>0</v>
      </c>
      <c r="O393" t="s">
        <v>104</v>
      </c>
      <c r="P393" t="s">
        <v>231</v>
      </c>
    </row>
    <row r="394" spans="1:16" x14ac:dyDescent="0.3">
      <c r="A394">
        <v>452</v>
      </c>
      <c r="B394" t="s">
        <v>105</v>
      </c>
      <c r="C394" t="s">
        <v>405</v>
      </c>
      <c r="D394" s="6">
        <v>41412</v>
      </c>
      <c r="E394" t="s">
        <v>159</v>
      </c>
      <c r="F394" t="s">
        <v>60</v>
      </c>
      <c r="G394" t="s">
        <v>50</v>
      </c>
      <c r="H394" t="s">
        <v>19</v>
      </c>
      <c r="I394" t="s">
        <v>19</v>
      </c>
      <c r="J394" t="s">
        <v>20</v>
      </c>
      <c r="K394" t="s">
        <v>21</v>
      </c>
      <c r="L394" t="s">
        <v>50</v>
      </c>
      <c r="M394">
        <v>24</v>
      </c>
      <c r="N394">
        <v>0</v>
      </c>
      <c r="O394" t="s">
        <v>34</v>
      </c>
      <c r="P394" t="s">
        <v>170</v>
      </c>
    </row>
    <row r="395" spans="1:16" x14ac:dyDescent="0.3">
      <c r="A395">
        <v>453</v>
      </c>
      <c r="B395" t="s">
        <v>53</v>
      </c>
      <c r="C395" t="s">
        <v>405</v>
      </c>
      <c r="D395" s="6">
        <v>41413</v>
      </c>
      <c r="E395" t="s">
        <v>173</v>
      </c>
      <c r="F395" t="s">
        <v>55</v>
      </c>
      <c r="G395" t="s">
        <v>27</v>
      </c>
      <c r="H395" t="s">
        <v>18</v>
      </c>
      <c r="I395" t="s">
        <v>27</v>
      </c>
      <c r="J395" t="s">
        <v>40</v>
      </c>
      <c r="K395" t="s">
        <v>21</v>
      </c>
      <c r="L395" t="s">
        <v>18</v>
      </c>
      <c r="M395">
        <v>0</v>
      </c>
      <c r="N395">
        <v>5</v>
      </c>
      <c r="O395" t="s">
        <v>236</v>
      </c>
      <c r="P395" t="s">
        <v>237</v>
      </c>
    </row>
    <row r="396" spans="1:16" x14ac:dyDescent="0.3">
      <c r="A396">
        <v>454</v>
      </c>
      <c r="B396" t="s">
        <v>35</v>
      </c>
      <c r="C396" t="s">
        <v>405</v>
      </c>
      <c r="D396" s="6">
        <v>41415</v>
      </c>
      <c r="E396" t="s">
        <v>215</v>
      </c>
      <c r="F396" t="s">
        <v>37</v>
      </c>
      <c r="G396" t="s">
        <v>19</v>
      </c>
      <c r="H396" t="s">
        <v>39</v>
      </c>
      <c r="I396" t="s">
        <v>19</v>
      </c>
      <c r="J396" t="s">
        <v>40</v>
      </c>
      <c r="K396" t="s">
        <v>21</v>
      </c>
      <c r="L396" t="s">
        <v>19</v>
      </c>
      <c r="M396">
        <v>48</v>
      </c>
      <c r="N396">
        <v>0</v>
      </c>
      <c r="O396" t="s">
        <v>104</v>
      </c>
      <c r="P396" t="s">
        <v>170</v>
      </c>
    </row>
    <row r="397" spans="1:16" x14ac:dyDescent="0.3">
      <c r="A397">
        <v>455</v>
      </c>
      <c r="B397" t="s">
        <v>35</v>
      </c>
      <c r="C397" t="s">
        <v>405</v>
      </c>
      <c r="D397" s="6">
        <v>41416</v>
      </c>
      <c r="E397" t="s">
        <v>232</v>
      </c>
      <c r="F397" t="s">
        <v>37</v>
      </c>
      <c r="G397" t="s">
        <v>18</v>
      </c>
      <c r="H397" t="s">
        <v>31</v>
      </c>
      <c r="I397" t="s">
        <v>18</v>
      </c>
      <c r="J397" t="s">
        <v>40</v>
      </c>
      <c r="K397" t="s">
        <v>21</v>
      </c>
      <c r="L397" t="s">
        <v>31</v>
      </c>
      <c r="M397">
        <v>0</v>
      </c>
      <c r="N397">
        <v>4</v>
      </c>
      <c r="O397" t="s">
        <v>23</v>
      </c>
      <c r="P397" t="s">
        <v>170</v>
      </c>
    </row>
    <row r="398" spans="1:16" x14ac:dyDescent="0.3">
      <c r="A398">
        <v>456</v>
      </c>
      <c r="B398" t="s">
        <v>24</v>
      </c>
      <c r="C398" t="s">
        <v>405</v>
      </c>
      <c r="D398" s="6">
        <v>41418</v>
      </c>
      <c r="E398" t="s">
        <v>195</v>
      </c>
      <c r="F398" t="s">
        <v>26</v>
      </c>
      <c r="G398" t="s">
        <v>31</v>
      </c>
      <c r="H398" t="s">
        <v>39</v>
      </c>
      <c r="I398" t="s">
        <v>31</v>
      </c>
      <c r="J398" t="s">
        <v>40</v>
      </c>
      <c r="K398" t="s">
        <v>21</v>
      </c>
      <c r="L398" t="s">
        <v>39</v>
      </c>
      <c r="M398">
        <v>0</v>
      </c>
      <c r="N398">
        <v>4</v>
      </c>
      <c r="O398" t="s">
        <v>34</v>
      </c>
      <c r="P398" t="s">
        <v>231</v>
      </c>
    </row>
    <row r="399" spans="1:16" x14ac:dyDescent="0.3">
      <c r="A399">
        <v>457</v>
      </c>
      <c r="B399" t="s">
        <v>24</v>
      </c>
      <c r="C399" t="s">
        <v>405</v>
      </c>
      <c r="D399" s="6">
        <v>41420</v>
      </c>
      <c r="E399" t="s">
        <v>147</v>
      </c>
      <c r="F399" t="s">
        <v>26</v>
      </c>
      <c r="G399" t="s">
        <v>39</v>
      </c>
      <c r="H399" t="s">
        <v>19</v>
      </c>
      <c r="I399" t="s">
        <v>39</v>
      </c>
      <c r="J399" t="s">
        <v>40</v>
      </c>
      <c r="K399" t="s">
        <v>21</v>
      </c>
      <c r="L399" t="s">
        <v>39</v>
      </c>
      <c r="M399">
        <v>23</v>
      </c>
      <c r="N399">
        <v>0</v>
      </c>
      <c r="O399" t="s">
        <v>154</v>
      </c>
      <c r="P399" t="s">
        <v>231</v>
      </c>
    </row>
    <row r="400" spans="1:16" x14ac:dyDescent="0.3">
      <c r="A400">
        <v>458</v>
      </c>
      <c r="B400" t="s">
        <v>222</v>
      </c>
      <c r="C400" t="s">
        <v>402</v>
      </c>
      <c r="D400" s="6">
        <v>41745</v>
      </c>
      <c r="E400" t="s">
        <v>230</v>
      </c>
      <c r="F400" t="s">
        <v>223</v>
      </c>
      <c r="G400" t="s">
        <v>27</v>
      </c>
      <c r="H400" t="s">
        <v>39</v>
      </c>
      <c r="I400" t="s">
        <v>27</v>
      </c>
      <c r="J400" t="s">
        <v>40</v>
      </c>
      <c r="K400" t="s">
        <v>21</v>
      </c>
      <c r="L400" t="s">
        <v>27</v>
      </c>
      <c r="M400">
        <v>41</v>
      </c>
      <c r="N400">
        <v>0</v>
      </c>
      <c r="O400" t="s">
        <v>125</v>
      </c>
      <c r="P400" t="s">
        <v>180</v>
      </c>
    </row>
    <row r="401" spans="1:16" x14ac:dyDescent="0.3">
      <c r="A401">
        <v>459</v>
      </c>
      <c r="B401" t="s">
        <v>226</v>
      </c>
      <c r="C401" t="s">
        <v>402</v>
      </c>
      <c r="D401" s="6">
        <v>41746</v>
      </c>
      <c r="E401" t="s">
        <v>229</v>
      </c>
      <c r="F401" t="s">
        <v>228</v>
      </c>
      <c r="G401" t="s">
        <v>38</v>
      </c>
      <c r="H401" t="s">
        <v>50</v>
      </c>
      <c r="I401" t="s">
        <v>50</v>
      </c>
      <c r="J401" t="s">
        <v>20</v>
      </c>
      <c r="K401" t="s">
        <v>21</v>
      </c>
      <c r="L401" t="s">
        <v>50</v>
      </c>
      <c r="M401">
        <v>0</v>
      </c>
      <c r="N401">
        <v>8</v>
      </c>
      <c r="O401" t="s">
        <v>224</v>
      </c>
      <c r="P401" t="s">
        <v>23</v>
      </c>
    </row>
    <row r="402" spans="1:16" x14ac:dyDescent="0.3">
      <c r="A402">
        <v>460</v>
      </c>
      <c r="B402" t="s">
        <v>222</v>
      </c>
      <c r="C402" t="s">
        <v>402</v>
      </c>
      <c r="D402" s="6">
        <v>41747</v>
      </c>
      <c r="E402" t="s">
        <v>149</v>
      </c>
      <c r="F402" t="s">
        <v>223</v>
      </c>
      <c r="G402" t="s">
        <v>19</v>
      </c>
      <c r="H402" t="s">
        <v>45</v>
      </c>
      <c r="I402" t="s">
        <v>19</v>
      </c>
      <c r="J402" t="s">
        <v>40</v>
      </c>
      <c r="K402" t="s">
        <v>21</v>
      </c>
      <c r="L402" t="s">
        <v>45</v>
      </c>
      <c r="M402">
        <v>0</v>
      </c>
      <c r="N402">
        <v>6</v>
      </c>
      <c r="O402" t="s">
        <v>180</v>
      </c>
      <c r="P402" t="s">
        <v>34</v>
      </c>
    </row>
    <row r="403" spans="1:16" x14ac:dyDescent="0.3">
      <c r="A403">
        <v>461</v>
      </c>
      <c r="B403" t="s">
        <v>222</v>
      </c>
      <c r="C403" t="s">
        <v>402</v>
      </c>
      <c r="D403" s="6">
        <v>41747</v>
      </c>
      <c r="E403" t="s">
        <v>171</v>
      </c>
      <c r="F403" t="s">
        <v>223</v>
      </c>
      <c r="G403" t="s">
        <v>18</v>
      </c>
      <c r="H403" t="s">
        <v>31</v>
      </c>
      <c r="I403" t="s">
        <v>31</v>
      </c>
      <c r="J403" t="s">
        <v>20</v>
      </c>
      <c r="K403" t="s">
        <v>21</v>
      </c>
      <c r="L403" t="s">
        <v>31</v>
      </c>
      <c r="M403">
        <v>0</v>
      </c>
      <c r="N403">
        <v>4</v>
      </c>
      <c r="O403" t="s">
        <v>225</v>
      </c>
      <c r="P403" t="s">
        <v>180</v>
      </c>
    </row>
    <row r="404" spans="1:16" x14ac:dyDescent="0.3">
      <c r="A404">
        <v>462</v>
      </c>
      <c r="C404" t="s">
        <v>402</v>
      </c>
      <c r="D404" s="6">
        <v>41748</v>
      </c>
      <c r="E404" t="s">
        <v>173</v>
      </c>
      <c r="F404" t="s">
        <v>221</v>
      </c>
      <c r="G404" t="s">
        <v>39</v>
      </c>
      <c r="H404" t="s">
        <v>50</v>
      </c>
      <c r="I404" t="s">
        <v>50</v>
      </c>
      <c r="J404" t="s">
        <v>20</v>
      </c>
      <c r="K404" t="s">
        <v>21</v>
      </c>
      <c r="L404" t="s">
        <v>50</v>
      </c>
      <c r="M404">
        <v>0</v>
      </c>
      <c r="N404">
        <v>7</v>
      </c>
      <c r="O404" t="s">
        <v>224</v>
      </c>
      <c r="P404" t="s">
        <v>108</v>
      </c>
    </row>
    <row r="405" spans="1:16" x14ac:dyDescent="0.3">
      <c r="A405">
        <v>463</v>
      </c>
      <c r="C405" t="s">
        <v>402</v>
      </c>
      <c r="D405" s="6">
        <v>41748</v>
      </c>
      <c r="E405" t="s">
        <v>207</v>
      </c>
      <c r="F405" t="s">
        <v>221</v>
      </c>
      <c r="G405" t="s">
        <v>27</v>
      </c>
      <c r="H405" t="s">
        <v>38</v>
      </c>
      <c r="I405" t="s">
        <v>27</v>
      </c>
      <c r="J405" t="s">
        <v>40</v>
      </c>
      <c r="K405" t="s">
        <v>21</v>
      </c>
      <c r="L405" t="s">
        <v>38</v>
      </c>
      <c r="M405">
        <v>0</v>
      </c>
      <c r="N405">
        <v>4</v>
      </c>
      <c r="O405" t="s">
        <v>224</v>
      </c>
      <c r="P405" t="s">
        <v>178</v>
      </c>
    </row>
    <row r="406" spans="1:16" x14ac:dyDescent="0.3">
      <c r="A406">
        <v>464</v>
      </c>
      <c r="B406" t="s">
        <v>226</v>
      </c>
      <c r="C406" t="s">
        <v>402</v>
      </c>
      <c r="D406" s="6">
        <v>41749</v>
      </c>
      <c r="E406" t="s">
        <v>149</v>
      </c>
      <c r="F406" t="s">
        <v>228</v>
      </c>
      <c r="G406" t="s">
        <v>31</v>
      </c>
      <c r="H406" t="s">
        <v>45</v>
      </c>
      <c r="I406" t="s">
        <v>45</v>
      </c>
      <c r="J406" t="s">
        <v>20</v>
      </c>
      <c r="K406" t="s">
        <v>21</v>
      </c>
      <c r="L406" t="s">
        <v>45</v>
      </c>
      <c r="M406">
        <v>0</v>
      </c>
      <c r="N406">
        <v>7</v>
      </c>
      <c r="O406" t="s">
        <v>225</v>
      </c>
      <c r="P406" t="s">
        <v>125</v>
      </c>
    </row>
    <row r="407" spans="1:16" x14ac:dyDescent="0.3">
      <c r="A407">
        <v>465</v>
      </c>
      <c r="B407" t="s">
        <v>222</v>
      </c>
      <c r="C407" t="s">
        <v>402</v>
      </c>
      <c r="D407" s="6">
        <v>41750</v>
      </c>
      <c r="E407" t="s">
        <v>144</v>
      </c>
      <c r="F407" t="s">
        <v>223</v>
      </c>
      <c r="G407" t="s">
        <v>19</v>
      </c>
      <c r="H407" t="s">
        <v>38</v>
      </c>
      <c r="I407" t="s">
        <v>19</v>
      </c>
      <c r="J407" t="s">
        <v>40</v>
      </c>
      <c r="K407" t="s">
        <v>21</v>
      </c>
      <c r="L407" t="s">
        <v>19</v>
      </c>
      <c r="M407">
        <v>93</v>
      </c>
      <c r="N407">
        <v>0</v>
      </c>
      <c r="O407" t="s">
        <v>180</v>
      </c>
      <c r="P407" t="s">
        <v>34</v>
      </c>
    </row>
    <row r="408" spans="1:16" x14ac:dyDescent="0.3">
      <c r="A408">
        <v>466</v>
      </c>
      <c r="B408" t="s">
        <v>226</v>
      </c>
      <c r="C408" t="s">
        <v>402</v>
      </c>
      <c r="D408" s="6">
        <v>41751</v>
      </c>
      <c r="E408" t="s">
        <v>149</v>
      </c>
      <c r="F408" t="s">
        <v>228</v>
      </c>
      <c r="G408" t="s">
        <v>45</v>
      </c>
      <c r="H408" t="s">
        <v>18</v>
      </c>
      <c r="I408" t="s">
        <v>18</v>
      </c>
      <c r="J408" t="s">
        <v>20</v>
      </c>
      <c r="K408" t="s">
        <v>21</v>
      </c>
      <c r="L408" t="s">
        <v>45</v>
      </c>
      <c r="M408">
        <v>72</v>
      </c>
      <c r="N408">
        <v>0</v>
      </c>
      <c r="O408" t="s">
        <v>125</v>
      </c>
      <c r="P408" t="s">
        <v>23</v>
      </c>
    </row>
    <row r="409" spans="1:16" x14ac:dyDescent="0.3">
      <c r="A409">
        <v>467</v>
      </c>
      <c r="C409" t="s">
        <v>402</v>
      </c>
      <c r="D409" s="6">
        <v>41752</v>
      </c>
      <c r="E409" t="s">
        <v>77</v>
      </c>
      <c r="F409" t="s">
        <v>221</v>
      </c>
      <c r="G409" t="s">
        <v>19</v>
      </c>
      <c r="H409" t="s">
        <v>31</v>
      </c>
      <c r="I409" t="s">
        <v>31</v>
      </c>
      <c r="J409" t="s">
        <v>20</v>
      </c>
      <c r="K409" t="s">
        <v>21</v>
      </c>
      <c r="L409" t="s">
        <v>19</v>
      </c>
      <c r="M409">
        <v>7</v>
      </c>
      <c r="N409">
        <v>0</v>
      </c>
      <c r="O409" t="s">
        <v>154</v>
      </c>
      <c r="P409" t="s">
        <v>180</v>
      </c>
    </row>
    <row r="410" spans="1:16" x14ac:dyDescent="0.3">
      <c r="A410">
        <v>468</v>
      </c>
      <c r="B410" t="s">
        <v>226</v>
      </c>
      <c r="C410" t="s">
        <v>402</v>
      </c>
      <c r="D410" s="6">
        <v>41753</v>
      </c>
      <c r="E410" t="s">
        <v>54</v>
      </c>
      <c r="F410" t="s">
        <v>228</v>
      </c>
      <c r="G410" t="s">
        <v>27</v>
      </c>
      <c r="H410" t="s">
        <v>50</v>
      </c>
      <c r="I410" t="s">
        <v>50</v>
      </c>
      <c r="J410" t="s">
        <v>20</v>
      </c>
      <c r="K410" t="s">
        <v>21</v>
      </c>
      <c r="L410" t="s">
        <v>27</v>
      </c>
      <c r="M410">
        <v>2</v>
      </c>
      <c r="N410">
        <v>0</v>
      </c>
      <c r="O410" t="s">
        <v>224</v>
      </c>
      <c r="P410" t="s">
        <v>178</v>
      </c>
    </row>
    <row r="411" spans="1:16" x14ac:dyDescent="0.3">
      <c r="A411">
        <v>469</v>
      </c>
      <c r="C411" t="s">
        <v>402</v>
      </c>
      <c r="D411" s="6">
        <v>41754</v>
      </c>
      <c r="E411" t="s">
        <v>179</v>
      </c>
      <c r="F411" t="s">
        <v>221</v>
      </c>
      <c r="G411" t="s">
        <v>18</v>
      </c>
      <c r="H411" t="s">
        <v>38</v>
      </c>
      <c r="I411" t="s">
        <v>18</v>
      </c>
      <c r="J411" t="s">
        <v>40</v>
      </c>
      <c r="K411" t="s">
        <v>21</v>
      </c>
      <c r="L411" t="s">
        <v>18</v>
      </c>
      <c r="M411">
        <v>4</v>
      </c>
      <c r="N411">
        <v>0</v>
      </c>
      <c r="O411" t="s">
        <v>125</v>
      </c>
      <c r="P411" t="s">
        <v>23</v>
      </c>
    </row>
    <row r="412" spans="1:16" x14ac:dyDescent="0.3">
      <c r="A412">
        <v>470</v>
      </c>
      <c r="C412" t="s">
        <v>402</v>
      </c>
      <c r="D412" s="6">
        <v>41754</v>
      </c>
      <c r="E412" t="s">
        <v>124</v>
      </c>
      <c r="F412" t="s">
        <v>221</v>
      </c>
      <c r="G412" t="s">
        <v>39</v>
      </c>
      <c r="H412" t="s">
        <v>19</v>
      </c>
      <c r="I412" t="s">
        <v>39</v>
      </c>
      <c r="J412" t="s">
        <v>40</v>
      </c>
      <c r="K412" t="s">
        <v>21</v>
      </c>
      <c r="L412" t="s">
        <v>19</v>
      </c>
      <c r="M412">
        <v>0</v>
      </c>
      <c r="N412">
        <v>7</v>
      </c>
      <c r="O412" t="s">
        <v>225</v>
      </c>
      <c r="P412" t="s">
        <v>125</v>
      </c>
    </row>
    <row r="413" spans="1:16" x14ac:dyDescent="0.3">
      <c r="A413">
        <v>471</v>
      </c>
      <c r="B413" t="s">
        <v>222</v>
      </c>
      <c r="C413" t="s">
        <v>402</v>
      </c>
      <c r="D413" s="6">
        <v>41755</v>
      </c>
      <c r="E413" t="s">
        <v>219</v>
      </c>
      <c r="F413" t="s">
        <v>223</v>
      </c>
      <c r="G413" t="s">
        <v>50</v>
      </c>
      <c r="H413" t="s">
        <v>31</v>
      </c>
      <c r="I413" t="s">
        <v>31</v>
      </c>
      <c r="J413" t="s">
        <v>20</v>
      </c>
      <c r="K413" t="s">
        <v>21</v>
      </c>
      <c r="L413" t="s">
        <v>31</v>
      </c>
      <c r="M413">
        <v>0</v>
      </c>
      <c r="N413">
        <v>6</v>
      </c>
      <c r="O413" t="s">
        <v>154</v>
      </c>
      <c r="P413" t="s">
        <v>34</v>
      </c>
    </row>
    <row r="414" spans="1:16" x14ac:dyDescent="0.3">
      <c r="A414">
        <v>472</v>
      </c>
      <c r="B414" t="s">
        <v>222</v>
      </c>
      <c r="C414" t="s">
        <v>402</v>
      </c>
      <c r="D414" s="6">
        <v>41755</v>
      </c>
      <c r="E414" t="s">
        <v>129</v>
      </c>
      <c r="F414" t="s">
        <v>223</v>
      </c>
      <c r="G414" t="s">
        <v>45</v>
      </c>
      <c r="H414" t="s">
        <v>27</v>
      </c>
      <c r="I414" t="s">
        <v>27</v>
      </c>
      <c r="J414" t="s">
        <v>20</v>
      </c>
      <c r="K414" t="s">
        <v>21</v>
      </c>
      <c r="L414" t="s">
        <v>45</v>
      </c>
      <c r="M414">
        <v>23</v>
      </c>
      <c r="N414">
        <v>0</v>
      </c>
      <c r="O414" t="s">
        <v>154</v>
      </c>
      <c r="P414" t="s">
        <v>180</v>
      </c>
    </row>
    <row r="415" spans="1:16" x14ac:dyDescent="0.3">
      <c r="A415">
        <v>473</v>
      </c>
      <c r="B415" t="s">
        <v>226</v>
      </c>
      <c r="C415" t="s">
        <v>402</v>
      </c>
      <c r="D415" s="6">
        <v>41756</v>
      </c>
      <c r="E415" t="s">
        <v>227</v>
      </c>
      <c r="F415" t="s">
        <v>228</v>
      </c>
      <c r="G415" t="s">
        <v>39</v>
      </c>
      <c r="H415" t="s">
        <v>38</v>
      </c>
      <c r="I415" t="s">
        <v>39</v>
      </c>
      <c r="J415" t="s">
        <v>40</v>
      </c>
      <c r="K415" t="s">
        <v>21</v>
      </c>
      <c r="L415" t="s">
        <v>38</v>
      </c>
      <c r="M415">
        <v>0</v>
      </c>
      <c r="N415">
        <v>6</v>
      </c>
      <c r="O415" t="s">
        <v>224</v>
      </c>
      <c r="P415" t="s">
        <v>178</v>
      </c>
    </row>
    <row r="416" spans="1:16" x14ac:dyDescent="0.3">
      <c r="A416">
        <v>474</v>
      </c>
      <c r="B416" t="s">
        <v>226</v>
      </c>
      <c r="C416" t="s">
        <v>402</v>
      </c>
      <c r="D416" s="6">
        <v>41756</v>
      </c>
      <c r="E416" t="s">
        <v>126</v>
      </c>
      <c r="F416" t="s">
        <v>228</v>
      </c>
      <c r="G416" t="s">
        <v>18</v>
      </c>
      <c r="H416" t="s">
        <v>19</v>
      </c>
      <c r="I416" t="s">
        <v>18</v>
      </c>
      <c r="J416" t="s">
        <v>40</v>
      </c>
      <c r="K416" t="s">
        <v>21</v>
      </c>
      <c r="L416" t="s">
        <v>19</v>
      </c>
      <c r="M416">
        <v>0</v>
      </c>
      <c r="N416">
        <v>5</v>
      </c>
      <c r="O416" t="s">
        <v>108</v>
      </c>
      <c r="P416" t="s">
        <v>178</v>
      </c>
    </row>
    <row r="417" spans="1:16" x14ac:dyDescent="0.3">
      <c r="A417">
        <v>475</v>
      </c>
      <c r="C417" t="s">
        <v>402</v>
      </c>
      <c r="D417" s="6">
        <v>41757</v>
      </c>
      <c r="E417" t="s">
        <v>129</v>
      </c>
      <c r="F417" t="s">
        <v>221</v>
      </c>
      <c r="G417" t="s">
        <v>50</v>
      </c>
      <c r="H417" t="s">
        <v>45</v>
      </c>
      <c r="I417" t="s">
        <v>45</v>
      </c>
      <c r="J417" t="s">
        <v>20</v>
      </c>
      <c r="K417" t="s">
        <v>21</v>
      </c>
      <c r="L417" t="s">
        <v>45</v>
      </c>
      <c r="M417">
        <v>0</v>
      </c>
      <c r="N417">
        <v>5</v>
      </c>
      <c r="O417" t="s">
        <v>225</v>
      </c>
      <c r="P417" t="s">
        <v>23</v>
      </c>
    </row>
    <row r="418" spans="1:16" x14ac:dyDescent="0.3">
      <c r="A418">
        <v>476</v>
      </c>
      <c r="B418" t="s">
        <v>222</v>
      </c>
      <c r="C418" t="s">
        <v>402</v>
      </c>
      <c r="D418" s="6">
        <v>41758</v>
      </c>
      <c r="E418" t="s">
        <v>211</v>
      </c>
      <c r="F418" t="s">
        <v>223</v>
      </c>
      <c r="G418" t="s">
        <v>31</v>
      </c>
      <c r="H418" t="s">
        <v>27</v>
      </c>
      <c r="I418" t="s">
        <v>31</v>
      </c>
      <c r="J418" t="s">
        <v>40</v>
      </c>
      <c r="K418" t="s">
        <v>138</v>
      </c>
      <c r="L418" t="s">
        <v>31</v>
      </c>
      <c r="M418">
        <v>0</v>
      </c>
      <c r="N418">
        <v>0</v>
      </c>
      <c r="O418" t="s">
        <v>224</v>
      </c>
      <c r="P418" t="s">
        <v>108</v>
      </c>
    </row>
    <row r="419" spans="1:16" x14ac:dyDescent="0.3">
      <c r="A419">
        <v>477</v>
      </c>
      <c r="C419" t="s">
        <v>402</v>
      </c>
      <c r="D419" s="6">
        <v>41759</v>
      </c>
      <c r="E419" t="s">
        <v>145</v>
      </c>
      <c r="F419" t="s">
        <v>221</v>
      </c>
      <c r="G419" t="s">
        <v>18</v>
      </c>
      <c r="H419" t="s">
        <v>39</v>
      </c>
      <c r="I419" t="s">
        <v>39</v>
      </c>
      <c r="J419" t="s">
        <v>20</v>
      </c>
      <c r="K419" t="s">
        <v>21</v>
      </c>
      <c r="L419" t="s">
        <v>18</v>
      </c>
      <c r="M419">
        <v>15</v>
      </c>
      <c r="N419">
        <v>0</v>
      </c>
      <c r="O419" t="s">
        <v>154</v>
      </c>
      <c r="P419" t="s">
        <v>125</v>
      </c>
    </row>
    <row r="420" spans="1:16" x14ac:dyDescent="0.3">
      <c r="A420">
        <v>478</v>
      </c>
      <c r="B420" t="s">
        <v>181</v>
      </c>
      <c r="C420" t="s">
        <v>402</v>
      </c>
      <c r="D420" s="6">
        <v>41761</v>
      </c>
      <c r="E420" t="s">
        <v>77</v>
      </c>
      <c r="F420" t="s">
        <v>182</v>
      </c>
      <c r="G420" t="s">
        <v>19</v>
      </c>
      <c r="H420" t="s">
        <v>27</v>
      </c>
      <c r="I420" t="s">
        <v>19</v>
      </c>
      <c r="J420" t="s">
        <v>40</v>
      </c>
      <c r="K420" t="s">
        <v>21</v>
      </c>
      <c r="L420" t="s">
        <v>19</v>
      </c>
      <c r="M420">
        <v>34</v>
      </c>
      <c r="N420">
        <v>0</v>
      </c>
      <c r="O420" t="s">
        <v>108</v>
      </c>
      <c r="P420" t="s">
        <v>104</v>
      </c>
    </row>
    <row r="421" spans="1:16" x14ac:dyDescent="0.3">
      <c r="A421">
        <v>479</v>
      </c>
      <c r="B421" t="s">
        <v>15</v>
      </c>
      <c r="C421" t="s">
        <v>402</v>
      </c>
      <c r="D421" s="6">
        <v>41762</v>
      </c>
      <c r="E421" t="s">
        <v>146</v>
      </c>
      <c r="F421" t="s">
        <v>17</v>
      </c>
      <c r="G421" t="s">
        <v>45</v>
      </c>
      <c r="H421" t="s">
        <v>39</v>
      </c>
      <c r="I421" t="s">
        <v>45</v>
      </c>
      <c r="J421" t="s">
        <v>40</v>
      </c>
      <c r="K421" t="s">
        <v>21</v>
      </c>
      <c r="L421" t="s">
        <v>39</v>
      </c>
      <c r="M421">
        <v>0</v>
      </c>
      <c r="N421">
        <v>5</v>
      </c>
      <c r="O421" t="s">
        <v>155</v>
      </c>
      <c r="P421" t="s">
        <v>34</v>
      </c>
    </row>
    <row r="422" spans="1:16" x14ac:dyDescent="0.3">
      <c r="A422">
        <v>480</v>
      </c>
      <c r="B422" t="s">
        <v>35</v>
      </c>
      <c r="C422" t="s">
        <v>402</v>
      </c>
      <c r="D422" s="6">
        <v>41762</v>
      </c>
      <c r="E422" t="s">
        <v>119</v>
      </c>
      <c r="F422" t="s">
        <v>37</v>
      </c>
      <c r="G422" t="s">
        <v>38</v>
      </c>
      <c r="H422" t="s">
        <v>31</v>
      </c>
      <c r="I422" t="s">
        <v>31</v>
      </c>
      <c r="J422" t="s">
        <v>20</v>
      </c>
      <c r="K422" t="s">
        <v>21</v>
      </c>
      <c r="L422" t="s">
        <v>31</v>
      </c>
      <c r="M422">
        <v>0</v>
      </c>
      <c r="N422">
        <v>7</v>
      </c>
      <c r="O422" t="s">
        <v>220</v>
      </c>
      <c r="P422" t="s">
        <v>23</v>
      </c>
    </row>
    <row r="423" spans="1:16" x14ac:dyDescent="0.3">
      <c r="A423">
        <v>481</v>
      </c>
      <c r="B423" t="s">
        <v>105</v>
      </c>
      <c r="C423" t="s">
        <v>402</v>
      </c>
      <c r="D423" s="6">
        <v>41763</v>
      </c>
      <c r="E423" t="s">
        <v>59</v>
      </c>
      <c r="F423" t="s">
        <v>60</v>
      </c>
      <c r="G423" t="s">
        <v>18</v>
      </c>
      <c r="H423" t="s">
        <v>50</v>
      </c>
      <c r="I423" t="s">
        <v>50</v>
      </c>
      <c r="J423" t="s">
        <v>20</v>
      </c>
      <c r="K423" t="s">
        <v>21</v>
      </c>
      <c r="L423" t="s">
        <v>50</v>
      </c>
      <c r="M423">
        <v>0</v>
      </c>
      <c r="N423">
        <v>4</v>
      </c>
      <c r="O423" t="s">
        <v>154</v>
      </c>
      <c r="P423" t="s">
        <v>178</v>
      </c>
    </row>
    <row r="424" spans="1:16" x14ac:dyDescent="0.3">
      <c r="A424">
        <v>482</v>
      </c>
      <c r="B424" t="s">
        <v>202</v>
      </c>
      <c r="C424" t="s">
        <v>402</v>
      </c>
      <c r="D424" s="6">
        <v>41764</v>
      </c>
      <c r="E424" t="s">
        <v>219</v>
      </c>
      <c r="F424" t="s">
        <v>204</v>
      </c>
      <c r="G424" t="s">
        <v>31</v>
      </c>
      <c r="H424" t="s">
        <v>27</v>
      </c>
      <c r="I424" t="s">
        <v>27</v>
      </c>
      <c r="J424" t="s">
        <v>20</v>
      </c>
      <c r="K424" t="s">
        <v>21</v>
      </c>
      <c r="L424" t="s">
        <v>31</v>
      </c>
      <c r="M424">
        <v>10</v>
      </c>
      <c r="N424">
        <v>0</v>
      </c>
      <c r="O424" t="s">
        <v>104</v>
      </c>
      <c r="P424" t="s">
        <v>113</v>
      </c>
    </row>
    <row r="425" spans="1:16" x14ac:dyDescent="0.3">
      <c r="A425">
        <v>483</v>
      </c>
      <c r="B425" t="s">
        <v>35</v>
      </c>
      <c r="C425" t="s">
        <v>402</v>
      </c>
      <c r="D425" s="6">
        <v>41764</v>
      </c>
      <c r="E425" t="s">
        <v>126</v>
      </c>
      <c r="F425" t="s">
        <v>37</v>
      </c>
      <c r="G425" t="s">
        <v>38</v>
      </c>
      <c r="H425" t="s">
        <v>19</v>
      </c>
      <c r="I425" t="s">
        <v>19</v>
      </c>
      <c r="J425" t="s">
        <v>20</v>
      </c>
      <c r="K425" t="s">
        <v>21</v>
      </c>
      <c r="L425" t="s">
        <v>19</v>
      </c>
      <c r="M425">
        <v>0</v>
      </c>
      <c r="N425">
        <v>8</v>
      </c>
      <c r="O425" t="s">
        <v>190</v>
      </c>
      <c r="P425" t="s">
        <v>155</v>
      </c>
    </row>
    <row r="426" spans="1:16" x14ac:dyDescent="0.3">
      <c r="A426">
        <v>484</v>
      </c>
      <c r="B426" t="s">
        <v>15</v>
      </c>
      <c r="C426" t="s">
        <v>402</v>
      </c>
      <c r="D426" s="6">
        <v>41765</v>
      </c>
      <c r="E426" t="s">
        <v>83</v>
      </c>
      <c r="F426" t="s">
        <v>17</v>
      </c>
      <c r="G426" t="s">
        <v>39</v>
      </c>
      <c r="H426" t="s">
        <v>50</v>
      </c>
      <c r="I426" t="s">
        <v>50</v>
      </c>
      <c r="J426" t="s">
        <v>20</v>
      </c>
      <c r="K426" t="s">
        <v>21</v>
      </c>
      <c r="L426" t="s">
        <v>39</v>
      </c>
      <c r="M426">
        <v>19</v>
      </c>
      <c r="N426">
        <v>0</v>
      </c>
      <c r="O426" t="s">
        <v>23</v>
      </c>
      <c r="P426" t="s">
        <v>186</v>
      </c>
    </row>
    <row r="427" spans="1:16" x14ac:dyDescent="0.3">
      <c r="A427">
        <v>485</v>
      </c>
      <c r="B427" t="s">
        <v>35</v>
      </c>
      <c r="C427" t="s">
        <v>402</v>
      </c>
      <c r="D427" s="6">
        <v>41766</v>
      </c>
      <c r="E427" t="s">
        <v>139</v>
      </c>
      <c r="F427" t="s">
        <v>37</v>
      </c>
      <c r="G427" t="s">
        <v>38</v>
      </c>
      <c r="H427" t="s">
        <v>27</v>
      </c>
      <c r="I427" t="s">
        <v>38</v>
      </c>
      <c r="J427" t="s">
        <v>40</v>
      </c>
      <c r="K427" t="s">
        <v>21</v>
      </c>
      <c r="L427" t="s">
        <v>27</v>
      </c>
      <c r="M427">
        <v>0</v>
      </c>
      <c r="N427">
        <v>8</v>
      </c>
      <c r="O427" t="s">
        <v>155</v>
      </c>
      <c r="P427" t="s">
        <v>34</v>
      </c>
    </row>
    <row r="428" spans="1:16" x14ac:dyDescent="0.3">
      <c r="A428">
        <v>486</v>
      </c>
      <c r="B428" t="s">
        <v>216</v>
      </c>
      <c r="C428" t="s">
        <v>402</v>
      </c>
      <c r="D428" s="6">
        <v>41766</v>
      </c>
      <c r="E428" t="s">
        <v>149</v>
      </c>
      <c r="F428" t="s">
        <v>217</v>
      </c>
      <c r="G428" t="s">
        <v>45</v>
      </c>
      <c r="H428" t="s">
        <v>19</v>
      </c>
      <c r="I428" t="s">
        <v>19</v>
      </c>
      <c r="J428" t="s">
        <v>20</v>
      </c>
      <c r="K428" t="s">
        <v>21</v>
      </c>
      <c r="L428" t="s">
        <v>45</v>
      </c>
      <c r="M428">
        <v>44</v>
      </c>
      <c r="N428">
        <v>0</v>
      </c>
      <c r="O428" t="s">
        <v>154</v>
      </c>
      <c r="P428" t="s">
        <v>197</v>
      </c>
    </row>
    <row r="429" spans="1:16" x14ac:dyDescent="0.3">
      <c r="A429">
        <v>487</v>
      </c>
      <c r="B429" t="s">
        <v>202</v>
      </c>
      <c r="C429" t="s">
        <v>402</v>
      </c>
      <c r="D429" s="6">
        <v>41767</v>
      </c>
      <c r="E429" t="s">
        <v>145</v>
      </c>
      <c r="F429" t="s">
        <v>204</v>
      </c>
      <c r="G429" t="s">
        <v>18</v>
      </c>
      <c r="H429" t="s">
        <v>31</v>
      </c>
      <c r="I429" t="s">
        <v>31</v>
      </c>
      <c r="J429" t="s">
        <v>20</v>
      </c>
      <c r="K429" t="s">
        <v>21</v>
      </c>
      <c r="L429" t="s">
        <v>18</v>
      </c>
      <c r="M429">
        <v>32</v>
      </c>
      <c r="N429">
        <v>0</v>
      </c>
      <c r="O429" t="s">
        <v>108</v>
      </c>
      <c r="P429" t="s">
        <v>104</v>
      </c>
    </row>
    <row r="430" spans="1:16" x14ac:dyDescent="0.3">
      <c r="A430">
        <v>488</v>
      </c>
      <c r="B430" t="s">
        <v>105</v>
      </c>
      <c r="C430" t="s">
        <v>402</v>
      </c>
      <c r="D430" s="6">
        <v>41768</v>
      </c>
      <c r="E430" t="s">
        <v>129</v>
      </c>
      <c r="F430" t="s">
        <v>60</v>
      </c>
      <c r="G430" t="s">
        <v>45</v>
      </c>
      <c r="H430" t="s">
        <v>50</v>
      </c>
      <c r="I430" t="s">
        <v>50</v>
      </c>
      <c r="J430" t="s">
        <v>20</v>
      </c>
      <c r="K430" t="s">
        <v>21</v>
      </c>
      <c r="L430" t="s">
        <v>45</v>
      </c>
      <c r="M430">
        <v>32</v>
      </c>
      <c r="N430">
        <v>0</v>
      </c>
      <c r="O430" t="s">
        <v>23</v>
      </c>
      <c r="P430" t="s">
        <v>186</v>
      </c>
    </row>
    <row r="431" spans="1:16" x14ac:dyDescent="0.3">
      <c r="A431">
        <v>489</v>
      </c>
      <c r="B431" t="s">
        <v>35</v>
      </c>
      <c r="C431" t="s">
        <v>402</v>
      </c>
      <c r="D431" s="6">
        <v>41769</v>
      </c>
      <c r="E431" t="s">
        <v>218</v>
      </c>
      <c r="F431" t="s">
        <v>37</v>
      </c>
      <c r="G431" t="s">
        <v>38</v>
      </c>
      <c r="H431" t="s">
        <v>18</v>
      </c>
      <c r="I431" t="s">
        <v>18</v>
      </c>
      <c r="J431" t="s">
        <v>20</v>
      </c>
      <c r="K431" t="s">
        <v>21</v>
      </c>
      <c r="L431" t="s">
        <v>18</v>
      </c>
      <c r="M431">
        <v>0</v>
      </c>
      <c r="N431">
        <v>8</v>
      </c>
      <c r="O431" t="s">
        <v>190</v>
      </c>
      <c r="P431" t="s">
        <v>155</v>
      </c>
    </row>
    <row r="432" spans="1:16" x14ac:dyDescent="0.3">
      <c r="A432">
        <v>490</v>
      </c>
      <c r="B432" t="s">
        <v>15</v>
      </c>
      <c r="C432" t="s">
        <v>402</v>
      </c>
      <c r="D432" s="6">
        <v>41769</v>
      </c>
      <c r="E432" t="s">
        <v>126</v>
      </c>
      <c r="F432" t="s">
        <v>17</v>
      </c>
      <c r="G432" t="s">
        <v>39</v>
      </c>
      <c r="H432" t="s">
        <v>19</v>
      </c>
      <c r="I432" t="s">
        <v>19</v>
      </c>
      <c r="J432" t="s">
        <v>20</v>
      </c>
      <c r="K432" t="s">
        <v>21</v>
      </c>
      <c r="L432" t="s">
        <v>19</v>
      </c>
      <c r="M432">
        <v>0</v>
      </c>
      <c r="N432">
        <v>4</v>
      </c>
      <c r="O432" t="s">
        <v>154</v>
      </c>
      <c r="P432" t="s">
        <v>178</v>
      </c>
    </row>
    <row r="433" spans="1:16" x14ac:dyDescent="0.3">
      <c r="A433">
        <v>491</v>
      </c>
      <c r="B433" t="s">
        <v>216</v>
      </c>
      <c r="C433" t="s">
        <v>402</v>
      </c>
      <c r="D433" s="6">
        <v>41770</v>
      </c>
      <c r="E433" t="s">
        <v>139</v>
      </c>
      <c r="F433" t="s">
        <v>217</v>
      </c>
      <c r="G433" t="s">
        <v>45</v>
      </c>
      <c r="H433" t="s">
        <v>27</v>
      </c>
      <c r="I433" t="s">
        <v>27</v>
      </c>
      <c r="J433" t="s">
        <v>20</v>
      </c>
      <c r="K433" t="s">
        <v>21</v>
      </c>
      <c r="L433" t="s">
        <v>27</v>
      </c>
      <c r="M433">
        <v>0</v>
      </c>
      <c r="N433">
        <v>9</v>
      </c>
      <c r="O433" t="s">
        <v>104</v>
      </c>
      <c r="P433" t="s">
        <v>113</v>
      </c>
    </row>
    <row r="434" spans="1:16" x14ac:dyDescent="0.3">
      <c r="A434">
        <v>492</v>
      </c>
      <c r="B434" t="s">
        <v>105</v>
      </c>
      <c r="C434" t="s">
        <v>402</v>
      </c>
      <c r="D434" s="6">
        <v>41770</v>
      </c>
      <c r="E434" t="s">
        <v>211</v>
      </c>
      <c r="F434" t="s">
        <v>60</v>
      </c>
      <c r="G434" t="s">
        <v>50</v>
      </c>
      <c r="H434" t="s">
        <v>31</v>
      </c>
      <c r="I434" t="s">
        <v>50</v>
      </c>
      <c r="J434" t="s">
        <v>40</v>
      </c>
      <c r="K434" t="s">
        <v>21</v>
      </c>
      <c r="L434" t="s">
        <v>31</v>
      </c>
      <c r="M434">
        <v>0</v>
      </c>
      <c r="N434">
        <v>5</v>
      </c>
      <c r="O434" t="s">
        <v>23</v>
      </c>
      <c r="P434" t="s">
        <v>170</v>
      </c>
    </row>
    <row r="435" spans="1:16" x14ac:dyDescent="0.3">
      <c r="A435">
        <v>493</v>
      </c>
      <c r="B435" t="s">
        <v>53</v>
      </c>
      <c r="C435" t="s">
        <v>402</v>
      </c>
      <c r="D435" s="6">
        <v>41771</v>
      </c>
      <c r="E435" t="s">
        <v>67</v>
      </c>
      <c r="F435" t="s">
        <v>55</v>
      </c>
      <c r="G435" t="s">
        <v>18</v>
      </c>
      <c r="H435" t="s">
        <v>39</v>
      </c>
      <c r="I435" t="s">
        <v>18</v>
      </c>
      <c r="J435" t="s">
        <v>40</v>
      </c>
      <c r="K435" t="s">
        <v>21</v>
      </c>
      <c r="L435" t="s">
        <v>39</v>
      </c>
      <c r="M435">
        <v>0</v>
      </c>
      <c r="N435">
        <v>7</v>
      </c>
      <c r="O435" t="s">
        <v>154</v>
      </c>
      <c r="P435" t="s">
        <v>178</v>
      </c>
    </row>
    <row r="436" spans="1:16" x14ac:dyDescent="0.3">
      <c r="A436">
        <v>494</v>
      </c>
      <c r="B436" t="s">
        <v>181</v>
      </c>
      <c r="C436" t="s">
        <v>402</v>
      </c>
      <c r="D436" s="6">
        <v>41772</v>
      </c>
      <c r="E436" t="s">
        <v>77</v>
      </c>
      <c r="F436" t="s">
        <v>182</v>
      </c>
      <c r="G436" t="s">
        <v>31</v>
      </c>
      <c r="H436" t="s">
        <v>19</v>
      </c>
      <c r="I436" t="s">
        <v>31</v>
      </c>
      <c r="J436" t="s">
        <v>40</v>
      </c>
      <c r="K436" t="s">
        <v>21</v>
      </c>
      <c r="L436" t="s">
        <v>19</v>
      </c>
      <c r="M436">
        <v>0</v>
      </c>
      <c r="N436">
        <v>5</v>
      </c>
      <c r="O436" t="s">
        <v>155</v>
      </c>
      <c r="P436" t="s">
        <v>34</v>
      </c>
    </row>
    <row r="437" spans="1:16" x14ac:dyDescent="0.3">
      <c r="A437">
        <v>495</v>
      </c>
      <c r="B437" t="s">
        <v>105</v>
      </c>
      <c r="C437" t="s">
        <v>402</v>
      </c>
      <c r="D437" s="6">
        <v>41772</v>
      </c>
      <c r="E437" t="s">
        <v>152</v>
      </c>
      <c r="F437" t="s">
        <v>60</v>
      </c>
      <c r="G437" t="s">
        <v>50</v>
      </c>
      <c r="H437" t="s">
        <v>38</v>
      </c>
      <c r="I437" t="s">
        <v>38</v>
      </c>
      <c r="J437" t="s">
        <v>20</v>
      </c>
      <c r="K437" t="s">
        <v>21</v>
      </c>
      <c r="L437" t="s">
        <v>50</v>
      </c>
      <c r="M437">
        <v>16</v>
      </c>
      <c r="N437">
        <v>0</v>
      </c>
      <c r="O437" t="s">
        <v>186</v>
      </c>
      <c r="P437" t="s">
        <v>170</v>
      </c>
    </row>
    <row r="438" spans="1:16" x14ac:dyDescent="0.3">
      <c r="A438">
        <v>496</v>
      </c>
      <c r="B438" t="s">
        <v>53</v>
      </c>
      <c r="C438" t="s">
        <v>402</v>
      </c>
      <c r="D438" s="6">
        <v>41773</v>
      </c>
      <c r="E438" t="s">
        <v>121</v>
      </c>
      <c r="F438" t="s">
        <v>55</v>
      </c>
      <c r="G438" t="s">
        <v>18</v>
      </c>
      <c r="H438" t="s">
        <v>45</v>
      </c>
      <c r="I438" t="s">
        <v>45</v>
      </c>
      <c r="J438" t="s">
        <v>20</v>
      </c>
      <c r="K438" t="s">
        <v>21</v>
      </c>
      <c r="L438" t="s">
        <v>45</v>
      </c>
      <c r="M438">
        <v>0</v>
      </c>
      <c r="N438">
        <v>6</v>
      </c>
      <c r="O438" t="s">
        <v>178</v>
      </c>
      <c r="P438" t="s">
        <v>197</v>
      </c>
    </row>
    <row r="439" spans="1:16" x14ac:dyDescent="0.3">
      <c r="A439">
        <v>497</v>
      </c>
      <c r="B439" t="s">
        <v>216</v>
      </c>
      <c r="C439" t="s">
        <v>402</v>
      </c>
      <c r="D439" s="6">
        <v>41773</v>
      </c>
      <c r="E439" t="s">
        <v>141</v>
      </c>
      <c r="F439" t="s">
        <v>217</v>
      </c>
      <c r="G439" t="s">
        <v>39</v>
      </c>
      <c r="H439" t="s">
        <v>27</v>
      </c>
      <c r="I439" t="s">
        <v>27</v>
      </c>
      <c r="J439" t="s">
        <v>20</v>
      </c>
      <c r="K439" t="s">
        <v>21</v>
      </c>
      <c r="L439" t="s">
        <v>27</v>
      </c>
      <c r="M439">
        <v>0</v>
      </c>
      <c r="N439">
        <v>6</v>
      </c>
      <c r="O439" t="s">
        <v>108</v>
      </c>
      <c r="P439" t="s">
        <v>104</v>
      </c>
    </row>
    <row r="440" spans="1:16" x14ac:dyDescent="0.3">
      <c r="A440">
        <v>498</v>
      </c>
      <c r="B440" t="s">
        <v>202</v>
      </c>
      <c r="C440" t="s">
        <v>402</v>
      </c>
      <c r="D440" s="6">
        <v>41774</v>
      </c>
      <c r="E440" t="s">
        <v>171</v>
      </c>
      <c r="F440" t="s">
        <v>204</v>
      </c>
      <c r="G440" t="s">
        <v>31</v>
      </c>
      <c r="H440" t="s">
        <v>38</v>
      </c>
      <c r="I440" t="s">
        <v>38</v>
      </c>
      <c r="J440" t="s">
        <v>20</v>
      </c>
      <c r="K440" t="s">
        <v>21</v>
      </c>
      <c r="L440" t="s">
        <v>31</v>
      </c>
      <c r="M440">
        <v>62</v>
      </c>
      <c r="N440">
        <v>0</v>
      </c>
      <c r="O440" t="s">
        <v>23</v>
      </c>
      <c r="P440" t="s">
        <v>170</v>
      </c>
    </row>
    <row r="441" spans="1:16" x14ac:dyDescent="0.3">
      <c r="A441">
        <v>499</v>
      </c>
      <c r="B441" t="s">
        <v>181</v>
      </c>
      <c r="C441" t="s">
        <v>402</v>
      </c>
      <c r="D441" s="6">
        <v>41777</v>
      </c>
      <c r="E441" t="s">
        <v>59</v>
      </c>
      <c r="F441" t="s">
        <v>182</v>
      </c>
      <c r="G441" t="s">
        <v>19</v>
      </c>
      <c r="H441" t="s">
        <v>50</v>
      </c>
      <c r="I441" t="s">
        <v>19</v>
      </c>
      <c r="J441" t="s">
        <v>40</v>
      </c>
      <c r="K441" t="s">
        <v>21</v>
      </c>
      <c r="L441" t="s">
        <v>50</v>
      </c>
      <c r="M441">
        <v>0</v>
      </c>
      <c r="N441">
        <v>5</v>
      </c>
      <c r="O441" t="s">
        <v>155</v>
      </c>
      <c r="P441" t="s">
        <v>34</v>
      </c>
    </row>
    <row r="442" spans="1:16" x14ac:dyDescent="0.3">
      <c r="A442">
        <v>500</v>
      </c>
      <c r="B442" t="s">
        <v>53</v>
      </c>
      <c r="C442" t="s">
        <v>402</v>
      </c>
      <c r="D442" s="6">
        <v>41777</v>
      </c>
      <c r="E442" t="s">
        <v>65</v>
      </c>
      <c r="F442" t="s">
        <v>55</v>
      </c>
      <c r="G442" t="s">
        <v>18</v>
      </c>
      <c r="H442" t="s">
        <v>27</v>
      </c>
      <c r="I442" t="s">
        <v>18</v>
      </c>
      <c r="J442" t="s">
        <v>40</v>
      </c>
      <c r="K442" t="s">
        <v>21</v>
      </c>
      <c r="L442" t="s">
        <v>27</v>
      </c>
      <c r="M442">
        <v>0</v>
      </c>
      <c r="N442">
        <v>7</v>
      </c>
      <c r="O442" t="s">
        <v>104</v>
      </c>
      <c r="P442" t="s">
        <v>113</v>
      </c>
    </row>
    <row r="443" spans="1:16" x14ac:dyDescent="0.3">
      <c r="A443">
        <v>501</v>
      </c>
      <c r="B443" t="s">
        <v>202</v>
      </c>
      <c r="C443" t="s">
        <v>402</v>
      </c>
      <c r="D443" s="6">
        <v>41778</v>
      </c>
      <c r="E443" t="s">
        <v>215</v>
      </c>
      <c r="F443" t="s">
        <v>204</v>
      </c>
      <c r="G443" t="s">
        <v>39</v>
      </c>
      <c r="H443" t="s">
        <v>31</v>
      </c>
      <c r="I443" t="s">
        <v>39</v>
      </c>
      <c r="J443" t="s">
        <v>40</v>
      </c>
      <c r="K443" t="s">
        <v>21</v>
      </c>
      <c r="L443" t="s">
        <v>39</v>
      </c>
      <c r="M443">
        <v>25</v>
      </c>
      <c r="N443">
        <v>0</v>
      </c>
      <c r="O443" t="s">
        <v>23</v>
      </c>
      <c r="P443" t="s">
        <v>170</v>
      </c>
    </row>
    <row r="444" spans="1:16" x14ac:dyDescent="0.3">
      <c r="A444">
        <v>502</v>
      </c>
      <c r="B444" t="s">
        <v>35</v>
      </c>
      <c r="C444" t="s">
        <v>402</v>
      </c>
      <c r="D444" s="6">
        <v>41778</v>
      </c>
      <c r="E444" t="s">
        <v>148</v>
      </c>
      <c r="F444" t="s">
        <v>37</v>
      </c>
      <c r="G444" t="s">
        <v>38</v>
      </c>
      <c r="H444" t="s">
        <v>45</v>
      </c>
      <c r="I444" t="s">
        <v>45</v>
      </c>
      <c r="J444" t="s">
        <v>20</v>
      </c>
      <c r="K444" t="s">
        <v>21</v>
      </c>
      <c r="L444" t="s">
        <v>45</v>
      </c>
      <c r="M444">
        <v>0</v>
      </c>
      <c r="N444">
        <v>4</v>
      </c>
      <c r="O444" t="s">
        <v>154</v>
      </c>
      <c r="P444" t="s">
        <v>197</v>
      </c>
    </row>
    <row r="445" spans="1:16" x14ac:dyDescent="0.3">
      <c r="A445">
        <v>503</v>
      </c>
      <c r="B445" t="s">
        <v>53</v>
      </c>
      <c r="C445" t="s">
        <v>402</v>
      </c>
      <c r="D445" s="6">
        <v>41779</v>
      </c>
      <c r="E445" t="s">
        <v>134</v>
      </c>
      <c r="F445" t="s">
        <v>55</v>
      </c>
      <c r="G445" t="s">
        <v>50</v>
      </c>
      <c r="H445" t="s">
        <v>18</v>
      </c>
      <c r="I445" t="s">
        <v>50</v>
      </c>
      <c r="J445" t="s">
        <v>40</v>
      </c>
      <c r="K445" t="s">
        <v>21</v>
      </c>
      <c r="L445" t="s">
        <v>18</v>
      </c>
      <c r="M445">
        <v>0</v>
      </c>
      <c r="N445">
        <v>7</v>
      </c>
      <c r="O445" t="s">
        <v>108</v>
      </c>
      <c r="P445" t="s">
        <v>104</v>
      </c>
    </row>
    <row r="446" spans="1:16" x14ac:dyDescent="0.3">
      <c r="A446">
        <v>504</v>
      </c>
      <c r="B446" t="s">
        <v>24</v>
      </c>
      <c r="C446" t="s">
        <v>402</v>
      </c>
      <c r="D446" s="6">
        <v>41779</v>
      </c>
      <c r="E446" t="s">
        <v>141</v>
      </c>
      <c r="F446" t="s">
        <v>26</v>
      </c>
      <c r="G446" t="s">
        <v>19</v>
      </c>
      <c r="H446" t="s">
        <v>27</v>
      </c>
      <c r="I446" t="s">
        <v>27</v>
      </c>
      <c r="J446" t="s">
        <v>20</v>
      </c>
      <c r="K446" t="s">
        <v>21</v>
      </c>
      <c r="L446" t="s">
        <v>27</v>
      </c>
      <c r="M446">
        <v>0</v>
      </c>
      <c r="N446">
        <v>8</v>
      </c>
      <c r="O446" t="s">
        <v>190</v>
      </c>
      <c r="P446" t="s">
        <v>34</v>
      </c>
    </row>
    <row r="447" spans="1:16" x14ac:dyDescent="0.3">
      <c r="A447">
        <v>505</v>
      </c>
      <c r="B447" t="s">
        <v>123</v>
      </c>
      <c r="C447" t="s">
        <v>402</v>
      </c>
      <c r="D447" s="6">
        <v>41780</v>
      </c>
      <c r="E447" t="s">
        <v>128</v>
      </c>
      <c r="F447" t="s">
        <v>188</v>
      </c>
      <c r="G447" t="s">
        <v>45</v>
      </c>
      <c r="H447" t="s">
        <v>39</v>
      </c>
      <c r="I447" t="s">
        <v>39</v>
      </c>
      <c r="J447" t="s">
        <v>20</v>
      </c>
      <c r="K447" t="s">
        <v>21</v>
      </c>
      <c r="L447" t="s">
        <v>39</v>
      </c>
      <c r="M447">
        <v>0</v>
      </c>
      <c r="N447">
        <v>7</v>
      </c>
      <c r="O447" t="s">
        <v>154</v>
      </c>
      <c r="P447" t="s">
        <v>178</v>
      </c>
    </row>
    <row r="448" spans="1:16" x14ac:dyDescent="0.3">
      <c r="A448">
        <v>506</v>
      </c>
      <c r="B448" t="s">
        <v>24</v>
      </c>
      <c r="C448" t="s">
        <v>402</v>
      </c>
      <c r="D448" s="6">
        <v>41781</v>
      </c>
      <c r="E448" t="s">
        <v>141</v>
      </c>
      <c r="F448" t="s">
        <v>26</v>
      </c>
      <c r="G448" t="s">
        <v>27</v>
      </c>
      <c r="H448" t="s">
        <v>50</v>
      </c>
      <c r="I448" t="s">
        <v>50</v>
      </c>
      <c r="J448" t="s">
        <v>20</v>
      </c>
      <c r="K448" t="s">
        <v>21</v>
      </c>
      <c r="L448" t="s">
        <v>27</v>
      </c>
      <c r="M448">
        <v>30</v>
      </c>
      <c r="N448">
        <v>0</v>
      </c>
      <c r="O448" t="s">
        <v>108</v>
      </c>
      <c r="P448" t="s">
        <v>113</v>
      </c>
    </row>
    <row r="449" spans="1:16" x14ac:dyDescent="0.3">
      <c r="A449">
        <v>507</v>
      </c>
      <c r="B449" t="s">
        <v>181</v>
      </c>
      <c r="C449" t="s">
        <v>402</v>
      </c>
      <c r="D449" s="6">
        <v>41781</v>
      </c>
      <c r="E449" t="s">
        <v>134</v>
      </c>
      <c r="F449" t="s">
        <v>182</v>
      </c>
      <c r="G449" t="s">
        <v>19</v>
      </c>
      <c r="H449" t="s">
        <v>18</v>
      </c>
      <c r="I449" t="s">
        <v>18</v>
      </c>
      <c r="J449" t="s">
        <v>20</v>
      </c>
      <c r="K449" t="s">
        <v>21</v>
      </c>
      <c r="L449" t="s">
        <v>18</v>
      </c>
      <c r="M449">
        <v>0</v>
      </c>
      <c r="N449">
        <v>6</v>
      </c>
      <c r="O449" t="s">
        <v>155</v>
      </c>
      <c r="P449" t="s">
        <v>34</v>
      </c>
    </row>
    <row r="450" spans="1:16" x14ac:dyDescent="0.3">
      <c r="A450">
        <v>508</v>
      </c>
      <c r="B450" t="s">
        <v>15</v>
      </c>
      <c r="C450" t="s">
        <v>402</v>
      </c>
      <c r="D450" s="6">
        <v>41782</v>
      </c>
      <c r="E450" t="s">
        <v>215</v>
      </c>
      <c r="F450" t="s">
        <v>17</v>
      </c>
      <c r="G450" t="s">
        <v>39</v>
      </c>
      <c r="H450" t="s">
        <v>38</v>
      </c>
      <c r="I450" t="s">
        <v>38</v>
      </c>
      <c r="J450" t="s">
        <v>20</v>
      </c>
      <c r="K450" t="s">
        <v>21</v>
      </c>
      <c r="L450" t="s">
        <v>39</v>
      </c>
      <c r="M450">
        <v>15</v>
      </c>
      <c r="N450">
        <v>0</v>
      </c>
      <c r="O450" t="s">
        <v>23</v>
      </c>
      <c r="P450" t="s">
        <v>170</v>
      </c>
    </row>
    <row r="451" spans="1:16" x14ac:dyDescent="0.3">
      <c r="A451">
        <v>509</v>
      </c>
      <c r="B451" t="s">
        <v>123</v>
      </c>
      <c r="C451" t="s">
        <v>402</v>
      </c>
      <c r="D451" s="6">
        <v>41782</v>
      </c>
      <c r="E451" t="s">
        <v>206</v>
      </c>
      <c r="F451" t="s">
        <v>188</v>
      </c>
      <c r="G451" t="s">
        <v>45</v>
      </c>
      <c r="H451" t="s">
        <v>31</v>
      </c>
      <c r="I451" t="s">
        <v>31</v>
      </c>
      <c r="J451" t="s">
        <v>20</v>
      </c>
      <c r="K451" t="s">
        <v>21</v>
      </c>
      <c r="L451" t="s">
        <v>45</v>
      </c>
      <c r="M451">
        <v>16</v>
      </c>
      <c r="N451">
        <v>0</v>
      </c>
      <c r="O451" t="s">
        <v>154</v>
      </c>
      <c r="P451" t="s">
        <v>197</v>
      </c>
    </row>
    <row r="452" spans="1:16" x14ac:dyDescent="0.3">
      <c r="A452">
        <v>510</v>
      </c>
      <c r="B452" t="s">
        <v>105</v>
      </c>
      <c r="C452" t="s">
        <v>402</v>
      </c>
      <c r="D452" s="6">
        <v>41783</v>
      </c>
      <c r="E452" t="s">
        <v>87</v>
      </c>
      <c r="F452" t="s">
        <v>60</v>
      </c>
      <c r="G452" t="s">
        <v>50</v>
      </c>
      <c r="H452" t="s">
        <v>19</v>
      </c>
      <c r="I452" t="s">
        <v>19</v>
      </c>
      <c r="J452" t="s">
        <v>20</v>
      </c>
      <c r="K452" t="s">
        <v>21</v>
      </c>
      <c r="L452" t="s">
        <v>19</v>
      </c>
      <c r="M452">
        <v>0</v>
      </c>
      <c r="N452">
        <v>8</v>
      </c>
      <c r="O452" t="s">
        <v>108</v>
      </c>
      <c r="P452" t="s">
        <v>104</v>
      </c>
    </row>
    <row r="453" spans="1:16" x14ac:dyDescent="0.3">
      <c r="A453">
        <v>511</v>
      </c>
      <c r="B453" t="s">
        <v>24</v>
      </c>
      <c r="C453" t="s">
        <v>402</v>
      </c>
      <c r="D453" s="6">
        <v>41783</v>
      </c>
      <c r="E453" t="s">
        <v>157</v>
      </c>
      <c r="F453" t="s">
        <v>26</v>
      </c>
      <c r="G453" t="s">
        <v>18</v>
      </c>
      <c r="H453" t="s">
        <v>27</v>
      </c>
      <c r="I453" t="s">
        <v>27</v>
      </c>
      <c r="J453" t="s">
        <v>20</v>
      </c>
      <c r="K453" t="s">
        <v>21</v>
      </c>
      <c r="L453" t="s">
        <v>27</v>
      </c>
      <c r="M453">
        <v>0</v>
      </c>
      <c r="N453">
        <v>4</v>
      </c>
      <c r="O453" t="s">
        <v>190</v>
      </c>
      <c r="P453" t="s">
        <v>155</v>
      </c>
    </row>
    <row r="454" spans="1:16" x14ac:dyDescent="0.3">
      <c r="A454">
        <v>512</v>
      </c>
      <c r="B454" t="s">
        <v>123</v>
      </c>
      <c r="C454" t="s">
        <v>402</v>
      </c>
      <c r="D454" s="6">
        <v>41784</v>
      </c>
      <c r="E454" t="s">
        <v>176</v>
      </c>
      <c r="F454" t="s">
        <v>188</v>
      </c>
      <c r="G454" t="s">
        <v>38</v>
      </c>
      <c r="H454" t="s">
        <v>45</v>
      </c>
      <c r="I454" t="s">
        <v>45</v>
      </c>
      <c r="J454" t="s">
        <v>20</v>
      </c>
      <c r="K454" t="s">
        <v>21</v>
      </c>
      <c r="L454" t="s">
        <v>45</v>
      </c>
      <c r="M454">
        <v>0</v>
      </c>
      <c r="N454">
        <v>7</v>
      </c>
      <c r="O454" t="s">
        <v>154</v>
      </c>
      <c r="P454" t="s">
        <v>178</v>
      </c>
    </row>
    <row r="455" spans="1:16" x14ac:dyDescent="0.3">
      <c r="A455">
        <v>513</v>
      </c>
      <c r="B455" t="s">
        <v>15</v>
      </c>
      <c r="C455" t="s">
        <v>402</v>
      </c>
      <c r="D455" s="6">
        <v>41784</v>
      </c>
      <c r="E455" t="s">
        <v>146</v>
      </c>
      <c r="F455" t="s">
        <v>17</v>
      </c>
      <c r="G455" t="s">
        <v>31</v>
      </c>
      <c r="H455" t="s">
        <v>39</v>
      </c>
      <c r="I455" t="s">
        <v>39</v>
      </c>
      <c r="J455" t="s">
        <v>20</v>
      </c>
      <c r="K455" t="s">
        <v>21</v>
      </c>
      <c r="L455" t="s">
        <v>39</v>
      </c>
      <c r="M455">
        <v>0</v>
      </c>
      <c r="N455">
        <v>5</v>
      </c>
      <c r="O455" t="s">
        <v>186</v>
      </c>
      <c r="P455" t="s">
        <v>170</v>
      </c>
    </row>
    <row r="456" spans="1:16" x14ac:dyDescent="0.3">
      <c r="A456">
        <v>514</v>
      </c>
      <c r="B456" t="s">
        <v>24</v>
      </c>
      <c r="C456" t="s">
        <v>402</v>
      </c>
      <c r="D456" s="6">
        <v>41786</v>
      </c>
      <c r="E456" t="s">
        <v>65</v>
      </c>
      <c r="F456" t="s">
        <v>26</v>
      </c>
      <c r="G456" t="s">
        <v>27</v>
      </c>
      <c r="H456" t="s">
        <v>45</v>
      </c>
      <c r="I456" t="s">
        <v>45</v>
      </c>
      <c r="J456" t="s">
        <v>20</v>
      </c>
      <c r="K456" t="s">
        <v>21</v>
      </c>
      <c r="L456" t="s">
        <v>27</v>
      </c>
      <c r="M456">
        <v>28</v>
      </c>
      <c r="N456">
        <v>0</v>
      </c>
      <c r="O456" t="s">
        <v>104</v>
      </c>
      <c r="P456" t="s">
        <v>23</v>
      </c>
    </row>
    <row r="457" spans="1:16" x14ac:dyDescent="0.3">
      <c r="A457">
        <v>515</v>
      </c>
      <c r="B457" t="s">
        <v>15</v>
      </c>
      <c r="C457" t="s">
        <v>402</v>
      </c>
      <c r="D457" s="6">
        <v>41787</v>
      </c>
      <c r="E457" t="s">
        <v>144</v>
      </c>
      <c r="F457" t="s">
        <v>189</v>
      </c>
      <c r="G457" t="s">
        <v>39</v>
      </c>
      <c r="H457" t="s">
        <v>19</v>
      </c>
      <c r="I457" t="s">
        <v>19</v>
      </c>
      <c r="J457" t="s">
        <v>20</v>
      </c>
      <c r="K457" t="s">
        <v>21</v>
      </c>
      <c r="L457" t="s">
        <v>19</v>
      </c>
      <c r="M457">
        <v>0</v>
      </c>
      <c r="N457">
        <v>7</v>
      </c>
      <c r="O457" t="s">
        <v>178</v>
      </c>
      <c r="P457" t="s">
        <v>155</v>
      </c>
    </row>
    <row r="458" spans="1:16" x14ac:dyDescent="0.3">
      <c r="A458">
        <v>516</v>
      </c>
      <c r="B458" t="s">
        <v>15</v>
      </c>
      <c r="C458" t="s">
        <v>402</v>
      </c>
      <c r="D458" s="6">
        <v>41789</v>
      </c>
      <c r="E458" t="s">
        <v>214</v>
      </c>
      <c r="F458" t="s">
        <v>17</v>
      </c>
      <c r="G458" t="s">
        <v>45</v>
      </c>
      <c r="H458" t="s">
        <v>19</v>
      </c>
      <c r="I458" t="s">
        <v>19</v>
      </c>
      <c r="J458" t="s">
        <v>20</v>
      </c>
      <c r="K458" t="s">
        <v>21</v>
      </c>
      <c r="L458" t="s">
        <v>45</v>
      </c>
      <c r="M458">
        <v>24</v>
      </c>
      <c r="N458">
        <v>0</v>
      </c>
      <c r="O458" t="s">
        <v>154</v>
      </c>
      <c r="P458" t="s">
        <v>170</v>
      </c>
    </row>
    <row r="459" spans="1:16" x14ac:dyDescent="0.3">
      <c r="A459">
        <v>517</v>
      </c>
      <c r="B459" t="s">
        <v>105</v>
      </c>
      <c r="C459" t="s">
        <v>402</v>
      </c>
      <c r="D459" s="6">
        <v>41791</v>
      </c>
      <c r="E459" t="s">
        <v>213</v>
      </c>
      <c r="F459" t="s">
        <v>60</v>
      </c>
      <c r="G459" t="s">
        <v>45</v>
      </c>
      <c r="H459" t="s">
        <v>27</v>
      </c>
      <c r="I459" t="s">
        <v>27</v>
      </c>
      <c r="J459" t="s">
        <v>20</v>
      </c>
      <c r="K459" t="s">
        <v>21</v>
      </c>
      <c r="L459" t="s">
        <v>27</v>
      </c>
      <c r="M459">
        <v>0</v>
      </c>
      <c r="N459">
        <v>3</v>
      </c>
      <c r="O459" t="s">
        <v>154</v>
      </c>
      <c r="P459" t="s">
        <v>155</v>
      </c>
    </row>
    <row r="460" spans="1:16" x14ac:dyDescent="0.3">
      <c r="A460">
        <v>518</v>
      </c>
      <c r="B460" t="s">
        <v>24</v>
      </c>
      <c r="C460" t="s">
        <v>400</v>
      </c>
      <c r="D460" s="6">
        <v>42102</v>
      </c>
      <c r="E460" t="s">
        <v>212</v>
      </c>
      <c r="F460" t="s">
        <v>26</v>
      </c>
      <c r="G460" t="s">
        <v>39</v>
      </c>
      <c r="H460" t="s">
        <v>27</v>
      </c>
      <c r="I460" t="s">
        <v>27</v>
      </c>
      <c r="J460" t="s">
        <v>20</v>
      </c>
      <c r="K460" t="s">
        <v>21</v>
      </c>
      <c r="L460" t="s">
        <v>27</v>
      </c>
      <c r="M460">
        <v>0</v>
      </c>
      <c r="N460">
        <v>7</v>
      </c>
      <c r="O460" t="s">
        <v>23</v>
      </c>
      <c r="P460" t="s">
        <v>34</v>
      </c>
    </row>
    <row r="461" spans="1:16" x14ac:dyDescent="0.3">
      <c r="A461">
        <v>519</v>
      </c>
      <c r="B461" t="s">
        <v>98</v>
      </c>
      <c r="C461" t="s">
        <v>400</v>
      </c>
      <c r="D461" s="6">
        <v>42103</v>
      </c>
      <c r="E461" t="s">
        <v>168</v>
      </c>
      <c r="F461" t="s">
        <v>100</v>
      </c>
      <c r="G461" t="s">
        <v>19</v>
      </c>
      <c r="H461" t="s">
        <v>38</v>
      </c>
      <c r="I461" t="s">
        <v>38</v>
      </c>
      <c r="J461" t="s">
        <v>20</v>
      </c>
      <c r="K461" t="s">
        <v>21</v>
      </c>
      <c r="L461" t="s">
        <v>19</v>
      </c>
      <c r="M461">
        <v>1</v>
      </c>
      <c r="N461">
        <v>0</v>
      </c>
      <c r="O461" t="s">
        <v>180</v>
      </c>
      <c r="P461" t="s">
        <v>178</v>
      </c>
    </row>
    <row r="462" spans="1:16" x14ac:dyDescent="0.3">
      <c r="A462">
        <v>520</v>
      </c>
      <c r="B462" t="s">
        <v>42</v>
      </c>
      <c r="C462" t="s">
        <v>400</v>
      </c>
      <c r="D462" s="6">
        <v>42104</v>
      </c>
      <c r="E462" t="s">
        <v>211</v>
      </c>
      <c r="F462" t="s">
        <v>44</v>
      </c>
      <c r="G462" t="s">
        <v>31</v>
      </c>
      <c r="H462" t="s">
        <v>45</v>
      </c>
      <c r="I462" t="s">
        <v>45</v>
      </c>
      <c r="J462" t="s">
        <v>20</v>
      </c>
      <c r="K462" t="s">
        <v>21</v>
      </c>
      <c r="L462" t="s">
        <v>31</v>
      </c>
      <c r="M462">
        <v>26</v>
      </c>
      <c r="N462">
        <v>0</v>
      </c>
      <c r="O462" t="s">
        <v>205</v>
      </c>
      <c r="P462" t="s">
        <v>130</v>
      </c>
    </row>
    <row r="463" spans="1:16" x14ac:dyDescent="0.3">
      <c r="A463">
        <v>521</v>
      </c>
      <c r="B463" t="s">
        <v>98</v>
      </c>
      <c r="C463" t="s">
        <v>400</v>
      </c>
      <c r="D463" s="6">
        <v>42105</v>
      </c>
      <c r="E463" t="s">
        <v>201</v>
      </c>
      <c r="F463" t="s">
        <v>100</v>
      </c>
      <c r="G463" t="s">
        <v>19</v>
      </c>
      <c r="H463" t="s">
        <v>18</v>
      </c>
      <c r="I463" t="s">
        <v>19</v>
      </c>
      <c r="J463" t="s">
        <v>40</v>
      </c>
      <c r="K463" t="s">
        <v>21</v>
      </c>
      <c r="L463" t="s">
        <v>19</v>
      </c>
      <c r="M463">
        <v>45</v>
      </c>
      <c r="N463">
        <v>0</v>
      </c>
      <c r="O463" t="s">
        <v>180</v>
      </c>
      <c r="P463" t="s">
        <v>178</v>
      </c>
    </row>
    <row r="464" spans="1:16" x14ac:dyDescent="0.3">
      <c r="A464">
        <v>522</v>
      </c>
      <c r="B464" t="s">
        <v>24</v>
      </c>
      <c r="C464" t="s">
        <v>400</v>
      </c>
      <c r="D464" s="6">
        <v>42105</v>
      </c>
      <c r="E464" t="s">
        <v>92</v>
      </c>
      <c r="F464" t="s">
        <v>26</v>
      </c>
      <c r="G464" t="s">
        <v>27</v>
      </c>
      <c r="H464" t="s">
        <v>50</v>
      </c>
      <c r="I464" t="s">
        <v>50</v>
      </c>
      <c r="J464" t="s">
        <v>20</v>
      </c>
      <c r="K464" t="s">
        <v>21</v>
      </c>
      <c r="L464" t="s">
        <v>50</v>
      </c>
      <c r="M464">
        <v>0</v>
      </c>
      <c r="N464">
        <v>3</v>
      </c>
      <c r="O464" t="s">
        <v>23</v>
      </c>
      <c r="P464" t="s">
        <v>34</v>
      </c>
    </row>
    <row r="465" spans="1:16" x14ac:dyDescent="0.3">
      <c r="A465">
        <v>523</v>
      </c>
      <c r="B465" t="s">
        <v>35</v>
      </c>
      <c r="C465" t="s">
        <v>400</v>
      </c>
      <c r="D465" s="6">
        <v>42106</v>
      </c>
      <c r="E465" t="s">
        <v>209</v>
      </c>
      <c r="F465" t="s">
        <v>37</v>
      </c>
      <c r="G465" t="s">
        <v>38</v>
      </c>
      <c r="H465" t="s">
        <v>31</v>
      </c>
      <c r="I465" t="s">
        <v>31</v>
      </c>
      <c r="J465" t="s">
        <v>20</v>
      </c>
      <c r="K465" t="s">
        <v>21</v>
      </c>
      <c r="L465" t="s">
        <v>31</v>
      </c>
      <c r="M465">
        <v>0</v>
      </c>
      <c r="N465">
        <v>3</v>
      </c>
      <c r="O465" t="s">
        <v>205</v>
      </c>
      <c r="P465" t="s">
        <v>130</v>
      </c>
    </row>
    <row r="466" spans="1:16" x14ac:dyDescent="0.3">
      <c r="A466">
        <v>524</v>
      </c>
      <c r="B466" t="s">
        <v>15</v>
      </c>
      <c r="C466" t="s">
        <v>400</v>
      </c>
      <c r="D466" s="6">
        <v>42106</v>
      </c>
      <c r="E466" t="s">
        <v>210</v>
      </c>
      <c r="F466" t="s">
        <v>17</v>
      </c>
      <c r="G466" t="s">
        <v>45</v>
      </c>
      <c r="H466" t="s">
        <v>39</v>
      </c>
      <c r="I466" t="s">
        <v>39</v>
      </c>
      <c r="J466" t="s">
        <v>20</v>
      </c>
      <c r="K466" t="s">
        <v>21</v>
      </c>
      <c r="L466" t="s">
        <v>45</v>
      </c>
      <c r="M466">
        <v>18</v>
      </c>
      <c r="N466">
        <v>0</v>
      </c>
      <c r="O466" t="s">
        <v>108</v>
      </c>
      <c r="P466" t="s">
        <v>185</v>
      </c>
    </row>
    <row r="467" spans="1:16" x14ac:dyDescent="0.3">
      <c r="A467">
        <v>525</v>
      </c>
      <c r="B467" t="s">
        <v>105</v>
      </c>
      <c r="C467" t="s">
        <v>400</v>
      </c>
      <c r="D467" s="6">
        <v>42107</v>
      </c>
      <c r="E467" t="s">
        <v>134</v>
      </c>
      <c r="F467" t="s">
        <v>60</v>
      </c>
      <c r="G467" t="s">
        <v>50</v>
      </c>
      <c r="H467" t="s">
        <v>18</v>
      </c>
      <c r="I467" t="s">
        <v>18</v>
      </c>
      <c r="J467" t="s">
        <v>20</v>
      </c>
      <c r="K467" t="s">
        <v>21</v>
      </c>
      <c r="L467" t="s">
        <v>18</v>
      </c>
      <c r="M467">
        <v>0</v>
      </c>
      <c r="N467">
        <v>8</v>
      </c>
      <c r="O467" t="s">
        <v>190</v>
      </c>
      <c r="P467" t="s">
        <v>180</v>
      </c>
    </row>
    <row r="468" spans="1:16" x14ac:dyDescent="0.3">
      <c r="A468">
        <v>526</v>
      </c>
      <c r="B468" t="s">
        <v>202</v>
      </c>
      <c r="C468" t="s">
        <v>400</v>
      </c>
      <c r="D468" s="6">
        <v>42108</v>
      </c>
      <c r="E468" t="s">
        <v>151</v>
      </c>
      <c r="F468" t="s">
        <v>204</v>
      </c>
      <c r="G468" t="s">
        <v>39</v>
      </c>
      <c r="H468" t="s">
        <v>31</v>
      </c>
      <c r="I468" t="s">
        <v>39</v>
      </c>
      <c r="J468" t="s">
        <v>40</v>
      </c>
      <c r="K468" t="s">
        <v>21</v>
      </c>
      <c r="L468" t="s">
        <v>31</v>
      </c>
      <c r="M468">
        <v>0</v>
      </c>
      <c r="N468">
        <v>7</v>
      </c>
      <c r="O468" t="s">
        <v>108</v>
      </c>
      <c r="P468" t="s">
        <v>205</v>
      </c>
    </row>
    <row r="469" spans="1:16" x14ac:dyDescent="0.3">
      <c r="A469">
        <v>527</v>
      </c>
      <c r="B469" t="s">
        <v>24</v>
      </c>
      <c r="C469" t="s">
        <v>400</v>
      </c>
      <c r="D469" s="6">
        <v>42124</v>
      </c>
      <c r="E469" t="s">
        <v>30</v>
      </c>
      <c r="F469" t="s">
        <v>26</v>
      </c>
      <c r="G469" t="s">
        <v>19</v>
      </c>
      <c r="H469" t="s">
        <v>27</v>
      </c>
      <c r="I469" t="s">
        <v>27</v>
      </c>
      <c r="J469" t="s">
        <v>20</v>
      </c>
      <c r="K469" t="s">
        <v>21</v>
      </c>
      <c r="L469" t="s">
        <v>27</v>
      </c>
      <c r="M469">
        <v>0</v>
      </c>
      <c r="N469">
        <v>7</v>
      </c>
      <c r="O469" t="s">
        <v>108</v>
      </c>
      <c r="P469" t="s">
        <v>125</v>
      </c>
    </row>
    <row r="470" spans="1:16" x14ac:dyDescent="0.3">
      <c r="A470">
        <v>528</v>
      </c>
      <c r="B470" t="s">
        <v>42</v>
      </c>
      <c r="C470" t="s">
        <v>400</v>
      </c>
      <c r="D470" s="6">
        <v>42109</v>
      </c>
      <c r="E470" t="s">
        <v>208</v>
      </c>
      <c r="F470" t="s">
        <v>44</v>
      </c>
      <c r="G470" t="s">
        <v>45</v>
      </c>
      <c r="H470" t="s">
        <v>38</v>
      </c>
      <c r="I470" t="s">
        <v>45</v>
      </c>
      <c r="J470" t="s">
        <v>40</v>
      </c>
      <c r="K470" t="s">
        <v>21</v>
      </c>
      <c r="L470" t="s">
        <v>38</v>
      </c>
      <c r="M470">
        <v>0</v>
      </c>
      <c r="N470">
        <v>5</v>
      </c>
      <c r="O470" t="s">
        <v>130</v>
      </c>
      <c r="P470" t="s">
        <v>186</v>
      </c>
    </row>
    <row r="471" spans="1:16" x14ac:dyDescent="0.3">
      <c r="A471">
        <v>529</v>
      </c>
      <c r="B471" t="s">
        <v>161</v>
      </c>
      <c r="C471" t="s">
        <v>400</v>
      </c>
      <c r="D471" s="6">
        <v>42110</v>
      </c>
      <c r="E471" t="s">
        <v>171</v>
      </c>
      <c r="F471" t="s">
        <v>162</v>
      </c>
      <c r="G471" t="s">
        <v>18</v>
      </c>
      <c r="H471" t="s">
        <v>31</v>
      </c>
      <c r="I471" t="s">
        <v>31</v>
      </c>
      <c r="J471" t="s">
        <v>20</v>
      </c>
      <c r="K471" t="s">
        <v>21</v>
      </c>
      <c r="L471" t="s">
        <v>31</v>
      </c>
      <c r="M471">
        <v>0</v>
      </c>
      <c r="N471">
        <v>6</v>
      </c>
      <c r="O471" t="s">
        <v>197</v>
      </c>
      <c r="P471" t="s">
        <v>23</v>
      </c>
    </row>
    <row r="472" spans="1:16" x14ac:dyDescent="0.3">
      <c r="A472">
        <v>530</v>
      </c>
      <c r="B472" t="s">
        <v>15</v>
      </c>
      <c r="C472" t="s">
        <v>400</v>
      </c>
      <c r="D472" s="6">
        <v>42111</v>
      </c>
      <c r="E472" t="s">
        <v>168</v>
      </c>
      <c r="F472" t="s">
        <v>17</v>
      </c>
      <c r="G472" t="s">
        <v>39</v>
      </c>
      <c r="H472" t="s">
        <v>19</v>
      </c>
      <c r="I472" t="s">
        <v>39</v>
      </c>
      <c r="J472" t="s">
        <v>40</v>
      </c>
      <c r="K472" t="s">
        <v>21</v>
      </c>
      <c r="L472" t="s">
        <v>19</v>
      </c>
      <c r="M472">
        <v>0</v>
      </c>
      <c r="N472">
        <v>6</v>
      </c>
      <c r="O472" t="s">
        <v>108</v>
      </c>
      <c r="P472" t="s">
        <v>125</v>
      </c>
    </row>
    <row r="473" spans="1:16" x14ac:dyDescent="0.3">
      <c r="A473">
        <v>531</v>
      </c>
      <c r="B473" t="s">
        <v>161</v>
      </c>
      <c r="C473" t="s">
        <v>400</v>
      </c>
      <c r="D473" s="6">
        <v>42112</v>
      </c>
      <c r="E473" t="s">
        <v>207</v>
      </c>
      <c r="F473" t="s">
        <v>162</v>
      </c>
      <c r="G473" t="s">
        <v>38</v>
      </c>
      <c r="H473" t="s">
        <v>18</v>
      </c>
      <c r="I473" t="s">
        <v>38</v>
      </c>
      <c r="J473" t="s">
        <v>40</v>
      </c>
      <c r="K473" t="s">
        <v>21</v>
      </c>
      <c r="L473" t="s">
        <v>38</v>
      </c>
      <c r="M473">
        <v>4</v>
      </c>
      <c r="N473">
        <v>0</v>
      </c>
      <c r="O473" t="s">
        <v>197</v>
      </c>
      <c r="P473" t="s">
        <v>23</v>
      </c>
    </row>
    <row r="474" spans="1:16" x14ac:dyDescent="0.3">
      <c r="A474">
        <v>532</v>
      </c>
      <c r="B474" t="s">
        <v>42</v>
      </c>
      <c r="C474" t="s">
        <v>400</v>
      </c>
      <c r="D474" s="6">
        <v>42112</v>
      </c>
      <c r="E474" t="s">
        <v>30</v>
      </c>
      <c r="F474" t="s">
        <v>44</v>
      </c>
      <c r="G474" t="s">
        <v>45</v>
      </c>
      <c r="H474" t="s">
        <v>27</v>
      </c>
      <c r="I474" t="s">
        <v>27</v>
      </c>
      <c r="J474" t="s">
        <v>20</v>
      </c>
      <c r="K474" t="s">
        <v>21</v>
      </c>
      <c r="L474" t="s">
        <v>27</v>
      </c>
      <c r="M474">
        <v>0</v>
      </c>
      <c r="N474">
        <v>4</v>
      </c>
      <c r="O474" t="s">
        <v>205</v>
      </c>
      <c r="P474" t="s">
        <v>113</v>
      </c>
    </row>
    <row r="475" spans="1:16" x14ac:dyDescent="0.3">
      <c r="A475">
        <v>533</v>
      </c>
      <c r="B475" t="s">
        <v>202</v>
      </c>
      <c r="C475" t="s">
        <v>400</v>
      </c>
      <c r="D475" s="6">
        <v>42113</v>
      </c>
      <c r="E475" t="s">
        <v>171</v>
      </c>
      <c r="F475" t="s">
        <v>204</v>
      </c>
      <c r="G475" t="s">
        <v>19</v>
      </c>
      <c r="H475" t="s">
        <v>31</v>
      </c>
      <c r="I475" t="s">
        <v>19</v>
      </c>
      <c r="J475" t="s">
        <v>40</v>
      </c>
      <c r="K475" t="s">
        <v>21</v>
      </c>
      <c r="L475" t="s">
        <v>31</v>
      </c>
      <c r="M475">
        <v>0</v>
      </c>
      <c r="N475">
        <v>8</v>
      </c>
      <c r="O475" t="s">
        <v>108</v>
      </c>
      <c r="P475" t="s">
        <v>125</v>
      </c>
    </row>
    <row r="476" spans="1:16" x14ac:dyDescent="0.3">
      <c r="A476">
        <v>534</v>
      </c>
      <c r="B476" t="s">
        <v>105</v>
      </c>
      <c r="C476" t="s">
        <v>400</v>
      </c>
      <c r="D476" s="6">
        <v>42113</v>
      </c>
      <c r="E476" t="s">
        <v>195</v>
      </c>
      <c r="F476" t="s">
        <v>60</v>
      </c>
      <c r="G476" t="s">
        <v>39</v>
      </c>
      <c r="H476" t="s">
        <v>50</v>
      </c>
      <c r="I476" t="s">
        <v>50</v>
      </c>
      <c r="J476" t="s">
        <v>20</v>
      </c>
      <c r="K476" t="s">
        <v>21</v>
      </c>
      <c r="L476" t="s">
        <v>39</v>
      </c>
      <c r="M476">
        <v>18</v>
      </c>
      <c r="N476">
        <v>0</v>
      </c>
      <c r="O476" t="s">
        <v>180</v>
      </c>
      <c r="P476" t="s">
        <v>178</v>
      </c>
    </row>
    <row r="477" spans="1:16" x14ac:dyDescent="0.3">
      <c r="A477">
        <v>535</v>
      </c>
      <c r="B477" t="s">
        <v>35</v>
      </c>
      <c r="C477" t="s">
        <v>400</v>
      </c>
      <c r="D477" s="6">
        <v>42114</v>
      </c>
      <c r="E477" t="s">
        <v>65</v>
      </c>
      <c r="F477" t="s">
        <v>37</v>
      </c>
      <c r="G477" t="s">
        <v>38</v>
      </c>
      <c r="H477" t="s">
        <v>27</v>
      </c>
      <c r="I477" t="s">
        <v>27</v>
      </c>
      <c r="J477" t="s">
        <v>20</v>
      </c>
      <c r="K477" t="s">
        <v>21</v>
      </c>
      <c r="L477" t="s">
        <v>27</v>
      </c>
      <c r="M477">
        <v>0</v>
      </c>
      <c r="N477">
        <v>6</v>
      </c>
      <c r="O477" t="s">
        <v>205</v>
      </c>
      <c r="P477" t="s">
        <v>130</v>
      </c>
    </row>
    <row r="478" spans="1:16" x14ac:dyDescent="0.3">
      <c r="A478">
        <v>536</v>
      </c>
      <c r="B478" t="s">
        <v>202</v>
      </c>
      <c r="C478" t="s">
        <v>400</v>
      </c>
      <c r="D478" s="6">
        <v>42115</v>
      </c>
      <c r="E478" t="s">
        <v>206</v>
      </c>
      <c r="F478" t="s">
        <v>204</v>
      </c>
      <c r="G478" t="s">
        <v>31</v>
      </c>
      <c r="H478" t="s">
        <v>45</v>
      </c>
      <c r="I478" t="s">
        <v>45</v>
      </c>
      <c r="J478" t="s">
        <v>20</v>
      </c>
      <c r="K478" t="s">
        <v>138</v>
      </c>
      <c r="L478" t="s">
        <v>45</v>
      </c>
      <c r="M478">
        <v>0</v>
      </c>
      <c r="N478">
        <v>0</v>
      </c>
      <c r="O478" t="s">
        <v>125</v>
      </c>
      <c r="P478" t="s">
        <v>23</v>
      </c>
    </row>
    <row r="479" spans="1:16" x14ac:dyDescent="0.3">
      <c r="A479">
        <v>537</v>
      </c>
      <c r="B479" t="s">
        <v>161</v>
      </c>
      <c r="C479" t="s">
        <v>400</v>
      </c>
      <c r="D479" s="6">
        <v>42116</v>
      </c>
      <c r="E479" t="s">
        <v>134</v>
      </c>
      <c r="F479" t="s">
        <v>162</v>
      </c>
      <c r="G479" t="s">
        <v>18</v>
      </c>
      <c r="H479" t="s">
        <v>27</v>
      </c>
      <c r="I479" t="s">
        <v>27</v>
      </c>
      <c r="J479" t="s">
        <v>20</v>
      </c>
      <c r="K479" t="s">
        <v>21</v>
      </c>
      <c r="L479" t="s">
        <v>18</v>
      </c>
      <c r="M479">
        <v>16</v>
      </c>
      <c r="N479">
        <v>0</v>
      </c>
      <c r="O479" t="s">
        <v>180</v>
      </c>
      <c r="P479" t="s">
        <v>178</v>
      </c>
    </row>
    <row r="480" spans="1:16" x14ac:dyDescent="0.3">
      <c r="A480">
        <v>538</v>
      </c>
      <c r="B480" t="s">
        <v>105</v>
      </c>
      <c r="C480" t="s">
        <v>400</v>
      </c>
      <c r="D480" s="6">
        <v>42116</v>
      </c>
      <c r="E480" t="s">
        <v>144</v>
      </c>
      <c r="F480" t="s">
        <v>60</v>
      </c>
      <c r="G480" t="s">
        <v>19</v>
      </c>
      <c r="H480" t="s">
        <v>50</v>
      </c>
      <c r="I480" t="s">
        <v>50</v>
      </c>
      <c r="J480" t="s">
        <v>20</v>
      </c>
      <c r="K480" t="s">
        <v>21</v>
      </c>
      <c r="L480" t="s">
        <v>19</v>
      </c>
      <c r="M480">
        <v>27</v>
      </c>
      <c r="N480">
        <v>0</v>
      </c>
      <c r="O480" t="s">
        <v>191</v>
      </c>
      <c r="P480" t="s">
        <v>34</v>
      </c>
    </row>
    <row r="481" spans="1:16" x14ac:dyDescent="0.3">
      <c r="A481">
        <v>539</v>
      </c>
      <c r="B481" t="s">
        <v>35</v>
      </c>
      <c r="C481" t="s">
        <v>400</v>
      </c>
      <c r="D481" s="6">
        <v>42117</v>
      </c>
      <c r="E481" t="s">
        <v>85</v>
      </c>
      <c r="F481" t="s">
        <v>37</v>
      </c>
      <c r="G481" t="s">
        <v>38</v>
      </c>
      <c r="H481" t="s">
        <v>39</v>
      </c>
      <c r="I481" t="s">
        <v>39</v>
      </c>
      <c r="J481" t="s">
        <v>20</v>
      </c>
      <c r="K481" t="s">
        <v>21</v>
      </c>
      <c r="L481" t="s">
        <v>38</v>
      </c>
      <c r="M481">
        <v>37</v>
      </c>
      <c r="N481">
        <v>0</v>
      </c>
      <c r="O481" t="s">
        <v>205</v>
      </c>
      <c r="P481" t="s">
        <v>113</v>
      </c>
    </row>
    <row r="482" spans="1:16" x14ac:dyDescent="0.3">
      <c r="A482">
        <v>540</v>
      </c>
      <c r="B482" t="s">
        <v>202</v>
      </c>
      <c r="C482" t="s">
        <v>400</v>
      </c>
      <c r="D482" s="6">
        <v>42118</v>
      </c>
      <c r="E482" t="s">
        <v>203</v>
      </c>
      <c r="F482" t="s">
        <v>204</v>
      </c>
      <c r="G482" t="s">
        <v>31</v>
      </c>
      <c r="H482" t="s">
        <v>50</v>
      </c>
      <c r="I482" t="s">
        <v>50</v>
      </c>
      <c r="J482" t="s">
        <v>20</v>
      </c>
      <c r="K482" t="s">
        <v>21</v>
      </c>
      <c r="L482" t="s">
        <v>50</v>
      </c>
      <c r="M482">
        <v>0</v>
      </c>
      <c r="N482">
        <v>9</v>
      </c>
      <c r="O482" t="s">
        <v>125</v>
      </c>
      <c r="P482" t="s">
        <v>23</v>
      </c>
    </row>
    <row r="483" spans="1:16" x14ac:dyDescent="0.3">
      <c r="A483">
        <v>541</v>
      </c>
      <c r="B483" t="s">
        <v>15</v>
      </c>
      <c r="C483" t="s">
        <v>400</v>
      </c>
      <c r="D483" s="6">
        <v>42119</v>
      </c>
      <c r="E483" t="s">
        <v>200</v>
      </c>
      <c r="F483" t="s">
        <v>17</v>
      </c>
      <c r="G483" t="s">
        <v>39</v>
      </c>
      <c r="H483" t="s">
        <v>18</v>
      </c>
      <c r="I483" t="s">
        <v>39</v>
      </c>
      <c r="J483" t="s">
        <v>40</v>
      </c>
      <c r="K483" t="s">
        <v>21</v>
      </c>
      <c r="L483" t="s">
        <v>39</v>
      </c>
      <c r="M483">
        <v>20</v>
      </c>
      <c r="N483">
        <v>0</v>
      </c>
      <c r="O483" t="s">
        <v>154</v>
      </c>
      <c r="P483" t="s">
        <v>130</v>
      </c>
    </row>
    <row r="484" spans="1:16" x14ac:dyDescent="0.3">
      <c r="A484">
        <v>542</v>
      </c>
      <c r="B484" t="s">
        <v>98</v>
      </c>
      <c r="C484" t="s">
        <v>400</v>
      </c>
      <c r="D484" s="6">
        <v>42119</v>
      </c>
      <c r="E484" t="s">
        <v>201</v>
      </c>
      <c r="F484" t="s">
        <v>100</v>
      </c>
      <c r="G484" t="s">
        <v>19</v>
      </c>
      <c r="H484" t="s">
        <v>45</v>
      </c>
      <c r="I484" t="s">
        <v>19</v>
      </c>
      <c r="J484" t="s">
        <v>40</v>
      </c>
      <c r="K484" t="s">
        <v>21</v>
      </c>
      <c r="L484" t="s">
        <v>19</v>
      </c>
      <c r="M484">
        <v>97</v>
      </c>
      <c r="N484">
        <v>0</v>
      </c>
      <c r="O484" t="s">
        <v>191</v>
      </c>
      <c r="P484" t="s">
        <v>34</v>
      </c>
    </row>
    <row r="485" spans="1:16" x14ac:dyDescent="0.3">
      <c r="A485">
        <v>543</v>
      </c>
      <c r="B485" t="s">
        <v>35</v>
      </c>
      <c r="C485" t="s">
        <v>400</v>
      </c>
      <c r="D485" s="6">
        <v>42120</v>
      </c>
      <c r="E485" t="s">
        <v>199</v>
      </c>
      <c r="F485" t="s">
        <v>37</v>
      </c>
      <c r="G485" t="s">
        <v>38</v>
      </c>
      <c r="H485" t="s">
        <v>50</v>
      </c>
      <c r="I485" t="s">
        <v>50</v>
      </c>
      <c r="J485" t="s">
        <v>20</v>
      </c>
      <c r="K485" t="s">
        <v>21</v>
      </c>
      <c r="L485" t="s">
        <v>50</v>
      </c>
      <c r="M485">
        <v>0</v>
      </c>
      <c r="N485">
        <v>10</v>
      </c>
      <c r="O485" t="s">
        <v>125</v>
      </c>
      <c r="P485" t="s">
        <v>23</v>
      </c>
    </row>
    <row r="486" spans="1:16" x14ac:dyDescent="0.3">
      <c r="A486">
        <v>544</v>
      </c>
      <c r="B486" t="s">
        <v>123</v>
      </c>
      <c r="C486" t="s">
        <v>400</v>
      </c>
      <c r="D486" s="6">
        <v>42121</v>
      </c>
      <c r="E486" t="s">
        <v>198</v>
      </c>
      <c r="F486" t="s">
        <v>188</v>
      </c>
      <c r="G486" t="s">
        <v>18</v>
      </c>
      <c r="H486" t="s">
        <v>45</v>
      </c>
      <c r="I486" t="s">
        <v>45</v>
      </c>
      <c r="J486" t="s">
        <v>20</v>
      </c>
      <c r="K486" t="s">
        <v>21</v>
      </c>
      <c r="L486" t="s">
        <v>18</v>
      </c>
      <c r="M486">
        <v>20</v>
      </c>
      <c r="N486">
        <v>0</v>
      </c>
      <c r="O486" t="s">
        <v>154</v>
      </c>
      <c r="P486" t="s">
        <v>130</v>
      </c>
    </row>
    <row r="487" spans="1:16" x14ac:dyDescent="0.3">
      <c r="A487">
        <v>545</v>
      </c>
      <c r="B487" t="s">
        <v>24</v>
      </c>
      <c r="C487" t="s">
        <v>400</v>
      </c>
      <c r="D487" s="6">
        <v>42131</v>
      </c>
      <c r="E487" t="s">
        <v>193</v>
      </c>
      <c r="F487" t="s">
        <v>26</v>
      </c>
      <c r="G487" t="s">
        <v>27</v>
      </c>
      <c r="H487" t="s">
        <v>38</v>
      </c>
      <c r="I487" t="s">
        <v>27</v>
      </c>
      <c r="J487" t="s">
        <v>40</v>
      </c>
      <c r="K487" t="s">
        <v>21</v>
      </c>
      <c r="L487" t="s">
        <v>27</v>
      </c>
      <c r="M487">
        <v>13</v>
      </c>
      <c r="N487">
        <v>0</v>
      </c>
      <c r="O487" t="s">
        <v>108</v>
      </c>
      <c r="P487" t="s">
        <v>125</v>
      </c>
    </row>
    <row r="488" spans="1:16" x14ac:dyDescent="0.3">
      <c r="A488">
        <v>546</v>
      </c>
      <c r="B488" t="s">
        <v>105</v>
      </c>
      <c r="C488" t="s">
        <v>400</v>
      </c>
      <c r="D488" s="6">
        <v>42123</v>
      </c>
      <c r="F488" t="s">
        <v>60</v>
      </c>
      <c r="G488" t="s">
        <v>50</v>
      </c>
      <c r="H488" t="s">
        <v>31</v>
      </c>
      <c r="I488" t="s">
        <v>31</v>
      </c>
      <c r="J488" t="s">
        <v>20</v>
      </c>
      <c r="K488" t="s">
        <v>183</v>
      </c>
      <c r="L488" t="s">
        <v>184</v>
      </c>
      <c r="M488">
        <v>0</v>
      </c>
      <c r="N488">
        <v>0</v>
      </c>
      <c r="O488" t="s">
        <v>191</v>
      </c>
      <c r="P488" t="s">
        <v>197</v>
      </c>
    </row>
    <row r="489" spans="1:16" x14ac:dyDescent="0.3">
      <c r="A489">
        <v>547</v>
      </c>
      <c r="B489" t="s">
        <v>98</v>
      </c>
      <c r="C489" t="s">
        <v>400</v>
      </c>
      <c r="D489" s="6">
        <v>42122</v>
      </c>
      <c r="E489" t="s">
        <v>101</v>
      </c>
      <c r="F489" t="s">
        <v>100</v>
      </c>
      <c r="G489" t="s">
        <v>19</v>
      </c>
      <c r="H489" t="s">
        <v>27</v>
      </c>
      <c r="I489" t="s">
        <v>27</v>
      </c>
      <c r="J489" t="s">
        <v>20</v>
      </c>
      <c r="K489" t="s">
        <v>21</v>
      </c>
      <c r="L489" t="s">
        <v>19</v>
      </c>
      <c r="M489">
        <v>2</v>
      </c>
      <c r="N489">
        <v>0</v>
      </c>
      <c r="O489" t="s">
        <v>190</v>
      </c>
      <c r="P489" t="s">
        <v>178</v>
      </c>
    </row>
    <row r="490" spans="1:16" x14ac:dyDescent="0.3">
      <c r="A490">
        <v>548</v>
      </c>
      <c r="B490" t="s">
        <v>35</v>
      </c>
      <c r="C490" t="s">
        <v>400</v>
      </c>
      <c r="D490" s="6">
        <v>42125</v>
      </c>
      <c r="E490" t="s">
        <v>107</v>
      </c>
      <c r="F490" t="s">
        <v>37</v>
      </c>
      <c r="G490" t="s">
        <v>45</v>
      </c>
      <c r="H490" t="s">
        <v>38</v>
      </c>
      <c r="I490" t="s">
        <v>38</v>
      </c>
      <c r="J490" t="s">
        <v>20</v>
      </c>
      <c r="K490" t="s">
        <v>21</v>
      </c>
      <c r="L490" t="s">
        <v>38</v>
      </c>
      <c r="M490">
        <v>0</v>
      </c>
      <c r="N490">
        <v>9</v>
      </c>
      <c r="O490" t="s">
        <v>180</v>
      </c>
      <c r="P490" t="s">
        <v>23</v>
      </c>
    </row>
    <row r="491" spans="1:16" x14ac:dyDescent="0.3">
      <c r="A491">
        <v>549</v>
      </c>
      <c r="B491" t="s">
        <v>15</v>
      </c>
      <c r="C491" t="s">
        <v>400</v>
      </c>
      <c r="D491" s="6">
        <v>42125</v>
      </c>
      <c r="E491" t="s">
        <v>67</v>
      </c>
      <c r="F491" t="s">
        <v>17</v>
      </c>
      <c r="G491" t="s">
        <v>39</v>
      </c>
      <c r="H491" t="s">
        <v>31</v>
      </c>
      <c r="I491" t="s">
        <v>31</v>
      </c>
      <c r="J491" t="s">
        <v>20</v>
      </c>
      <c r="K491" t="s">
        <v>21</v>
      </c>
      <c r="L491" t="s">
        <v>39</v>
      </c>
      <c r="M491">
        <v>8</v>
      </c>
      <c r="N491">
        <v>0</v>
      </c>
      <c r="O491" t="s">
        <v>154</v>
      </c>
      <c r="P491" t="s">
        <v>113</v>
      </c>
    </row>
    <row r="492" spans="1:16" x14ac:dyDescent="0.3">
      <c r="A492">
        <v>550</v>
      </c>
      <c r="B492" t="s">
        <v>105</v>
      </c>
      <c r="C492" t="s">
        <v>400</v>
      </c>
      <c r="D492" s="6">
        <v>42126</v>
      </c>
      <c r="E492" t="s">
        <v>196</v>
      </c>
      <c r="F492" t="s">
        <v>60</v>
      </c>
      <c r="G492" t="s">
        <v>27</v>
      </c>
      <c r="H492" t="s">
        <v>50</v>
      </c>
      <c r="I492" t="s">
        <v>50</v>
      </c>
      <c r="J492" t="s">
        <v>20</v>
      </c>
      <c r="K492" t="s">
        <v>21</v>
      </c>
      <c r="L492" t="s">
        <v>50</v>
      </c>
      <c r="M492">
        <v>0</v>
      </c>
      <c r="N492">
        <v>7</v>
      </c>
      <c r="O492" t="s">
        <v>191</v>
      </c>
      <c r="P492" t="s">
        <v>197</v>
      </c>
    </row>
    <row r="493" spans="1:16" x14ac:dyDescent="0.3">
      <c r="A493">
        <v>551</v>
      </c>
      <c r="B493" t="s">
        <v>53</v>
      </c>
      <c r="C493" t="s">
        <v>400</v>
      </c>
      <c r="D493" s="6">
        <v>42126</v>
      </c>
      <c r="E493" t="s">
        <v>134</v>
      </c>
      <c r="F493" t="s">
        <v>55</v>
      </c>
      <c r="G493" t="s">
        <v>18</v>
      </c>
      <c r="H493" t="s">
        <v>19</v>
      </c>
      <c r="I493" t="s">
        <v>19</v>
      </c>
      <c r="J493" t="s">
        <v>20</v>
      </c>
      <c r="K493" t="s">
        <v>21</v>
      </c>
      <c r="L493" t="s">
        <v>18</v>
      </c>
      <c r="M493">
        <v>22</v>
      </c>
      <c r="N493">
        <v>0</v>
      </c>
      <c r="O493" t="s">
        <v>108</v>
      </c>
      <c r="P493" t="s">
        <v>185</v>
      </c>
    </row>
    <row r="494" spans="1:16" x14ac:dyDescent="0.3">
      <c r="A494">
        <v>552</v>
      </c>
      <c r="B494" t="s">
        <v>123</v>
      </c>
      <c r="C494" t="s">
        <v>400</v>
      </c>
      <c r="D494" s="6">
        <v>42127</v>
      </c>
      <c r="E494" t="s">
        <v>128</v>
      </c>
      <c r="F494" t="s">
        <v>188</v>
      </c>
      <c r="G494" t="s">
        <v>39</v>
      </c>
      <c r="H494" t="s">
        <v>45</v>
      </c>
      <c r="I494" t="s">
        <v>39</v>
      </c>
      <c r="J494" t="s">
        <v>40</v>
      </c>
      <c r="K494" t="s">
        <v>21</v>
      </c>
      <c r="L494" t="s">
        <v>39</v>
      </c>
      <c r="M494">
        <v>23</v>
      </c>
      <c r="N494">
        <v>0</v>
      </c>
      <c r="O494" t="s">
        <v>180</v>
      </c>
      <c r="P494" t="s">
        <v>178</v>
      </c>
    </row>
    <row r="495" spans="1:16" x14ac:dyDescent="0.3">
      <c r="A495">
        <v>553</v>
      </c>
      <c r="B495" t="s">
        <v>15</v>
      </c>
      <c r="C495" t="s">
        <v>400</v>
      </c>
      <c r="D495" s="6">
        <v>42127</v>
      </c>
      <c r="E495" t="s">
        <v>171</v>
      </c>
      <c r="F495" t="s">
        <v>189</v>
      </c>
      <c r="G495" t="s">
        <v>31</v>
      </c>
      <c r="H495" t="s">
        <v>38</v>
      </c>
      <c r="I495" t="s">
        <v>38</v>
      </c>
      <c r="J495" t="s">
        <v>20</v>
      </c>
      <c r="K495" t="s">
        <v>21</v>
      </c>
      <c r="L495" t="s">
        <v>31</v>
      </c>
      <c r="M495">
        <v>14</v>
      </c>
      <c r="N495">
        <v>0</v>
      </c>
      <c r="O495" t="s">
        <v>154</v>
      </c>
      <c r="P495" t="s">
        <v>130</v>
      </c>
    </row>
    <row r="496" spans="1:16" x14ac:dyDescent="0.3">
      <c r="A496">
        <v>554</v>
      </c>
      <c r="B496" t="s">
        <v>98</v>
      </c>
      <c r="C496" t="s">
        <v>400</v>
      </c>
      <c r="D496" s="6">
        <v>42128</v>
      </c>
      <c r="E496" t="s">
        <v>144</v>
      </c>
      <c r="F496" t="s">
        <v>100</v>
      </c>
      <c r="G496" t="s">
        <v>19</v>
      </c>
      <c r="H496" t="s">
        <v>50</v>
      </c>
      <c r="I496" t="s">
        <v>19</v>
      </c>
      <c r="J496" t="s">
        <v>40</v>
      </c>
      <c r="K496" t="s">
        <v>21</v>
      </c>
      <c r="L496" t="s">
        <v>19</v>
      </c>
      <c r="M496">
        <v>24</v>
      </c>
      <c r="N496">
        <v>0</v>
      </c>
      <c r="O496" t="s">
        <v>34</v>
      </c>
      <c r="P496" t="s">
        <v>186</v>
      </c>
    </row>
    <row r="497" spans="1:16" x14ac:dyDescent="0.3">
      <c r="A497">
        <v>555</v>
      </c>
      <c r="B497" t="s">
        <v>24</v>
      </c>
      <c r="C497" t="s">
        <v>400</v>
      </c>
      <c r="D497" s="6">
        <v>42128</v>
      </c>
      <c r="E497" t="s">
        <v>65</v>
      </c>
      <c r="F497" t="s">
        <v>26</v>
      </c>
      <c r="G497" t="s">
        <v>27</v>
      </c>
      <c r="H497" t="s">
        <v>18</v>
      </c>
      <c r="I497" t="s">
        <v>18</v>
      </c>
      <c r="J497" t="s">
        <v>20</v>
      </c>
      <c r="K497" t="s">
        <v>21</v>
      </c>
      <c r="L497" t="s">
        <v>27</v>
      </c>
      <c r="M497">
        <v>35</v>
      </c>
      <c r="N497">
        <v>0</v>
      </c>
      <c r="O497" t="s">
        <v>108</v>
      </c>
      <c r="P497" t="s">
        <v>125</v>
      </c>
    </row>
    <row r="498" spans="1:16" x14ac:dyDescent="0.3">
      <c r="A498">
        <v>556</v>
      </c>
      <c r="B498" t="s">
        <v>15</v>
      </c>
      <c r="C498" t="s">
        <v>400</v>
      </c>
      <c r="D498" s="6">
        <v>42129</v>
      </c>
      <c r="E498" t="s">
        <v>195</v>
      </c>
      <c r="F498" t="s">
        <v>17</v>
      </c>
      <c r="G498" t="s">
        <v>38</v>
      </c>
      <c r="H498" t="s">
        <v>39</v>
      </c>
      <c r="I498" t="s">
        <v>38</v>
      </c>
      <c r="J498" t="s">
        <v>40</v>
      </c>
      <c r="K498" t="s">
        <v>21</v>
      </c>
      <c r="L498" t="s">
        <v>39</v>
      </c>
      <c r="M498">
        <v>0</v>
      </c>
      <c r="N498">
        <v>5</v>
      </c>
      <c r="O498" t="s">
        <v>154</v>
      </c>
      <c r="P498" t="s">
        <v>130</v>
      </c>
    </row>
    <row r="499" spans="1:16" x14ac:dyDescent="0.3">
      <c r="A499">
        <v>557</v>
      </c>
      <c r="B499" t="s">
        <v>105</v>
      </c>
      <c r="C499" t="s">
        <v>400</v>
      </c>
      <c r="D499" s="6">
        <v>42130</v>
      </c>
      <c r="E499" t="s">
        <v>92</v>
      </c>
      <c r="F499" t="s">
        <v>60</v>
      </c>
      <c r="G499" t="s">
        <v>50</v>
      </c>
      <c r="H499" t="s">
        <v>45</v>
      </c>
      <c r="I499" t="s">
        <v>45</v>
      </c>
      <c r="J499" t="s">
        <v>20</v>
      </c>
      <c r="K499" t="s">
        <v>21</v>
      </c>
      <c r="L499" t="s">
        <v>50</v>
      </c>
      <c r="M499">
        <v>138</v>
      </c>
      <c r="N499">
        <v>0</v>
      </c>
      <c r="O499" t="s">
        <v>180</v>
      </c>
      <c r="P499" t="s">
        <v>178</v>
      </c>
    </row>
    <row r="500" spans="1:16" x14ac:dyDescent="0.3">
      <c r="A500">
        <v>558</v>
      </c>
      <c r="B500" t="s">
        <v>15</v>
      </c>
      <c r="C500" t="s">
        <v>400</v>
      </c>
      <c r="D500" s="6">
        <v>42131</v>
      </c>
      <c r="E500" t="s">
        <v>194</v>
      </c>
      <c r="F500" t="s">
        <v>189</v>
      </c>
      <c r="G500" t="s">
        <v>18</v>
      </c>
      <c r="H500" t="s">
        <v>31</v>
      </c>
      <c r="I500" t="s">
        <v>31</v>
      </c>
      <c r="J500" t="s">
        <v>20</v>
      </c>
      <c r="K500" t="s">
        <v>21</v>
      </c>
      <c r="L500" t="s">
        <v>18</v>
      </c>
      <c r="M500">
        <v>7</v>
      </c>
      <c r="N500">
        <v>0</v>
      </c>
      <c r="O500" t="s">
        <v>191</v>
      </c>
      <c r="P500" t="s">
        <v>34</v>
      </c>
    </row>
    <row r="501" spans="1:16" x14ac:dyDescent="0.3">
      <c r="A501">
        <v>559</v>
      </c>
      <c r="B501" t="s">
        <v>98</v>
      </c>
      <c r="C501" t="s">
        <v>400</v>
      </c>
      <c r="D501" s="6">
        <v>42132</v>
      </c>
      <c r="E501" t="s">
        <v>74</v>
      </c>
      <c r="F501" t="s">
        <v>100</v>
      </c>
      <c r="G501" t="s">
        <v>19</v>
      </c>
      <c r="H501" t="s">
        <v>39</v>
      </c>
      <c r="I501" t="s">
        <v>19</v>
      </c>
      <c r="J501" t="s">
        <v>40</v>
      </c>
      <c r="K501" t="s">
        <v>21</v>
      </c>
      <c r="L501" t="s">
        <v>39</v>
      </c>
      <c r="M501">
        <v>0</v>
      </c>
      <c r="N501">
        <v>6</v>
      </c>
      <c r="O501" t="s">
        <v>130</v>
      </c>
      <c r="P501" t="s">
        <v>113</v>
      </c>
    </row>
    <row r="502" spans="1:16" x14ac:dyDescent="0.3">
      <c r="A502">
        <v>560</v>
      </c>
      <c r="B502" t="s">
        <v>24</v>
      </c>
      <c r="C502" t="s">
        <v>400</v>
      </c>
      <c r="D502" s="6">
        <v>42133</v>
      </c>
      <c r="E502" t="s">
        <v>30</v>
      </c>
      <c r="F502" t="s">
        <v>26</v>
      </c>
      <c r="G502" t="s">
        <v>45</v>
      </c>
      <c r="H502" t="s">
        <v>27</v>
      </c>
      <c r="I502" t="s">
        <v>45</v>
      </c>
      <c r="J502" t="s">
        <v>40</v>
      </c>
      <c r="K502" t="s">
        <v>21</v>
      </c>
      <c r="L502" t="s">
        <v>27</v>
      </c>
      <c r="M502">
        <v>0</v>
      </c>
      <c r="N502">
        <v>1</v>
      </c>
      <c r="O502" t="s">
        <v>108</v>
      </c>
      <c r="P502" t="s">
        <v>154</v>
      </c>
    </row>
    <row r="503" spans="1:16" x14ac:dyDescent="0.3">
      <c r="A503">
        <v>561</v>
      </c>
      <c r="B503" t="s">
        <v>158</v>
      </c>
      <c r="C503" t="s">
        <v>400</v>
      </c>
      <c r="D503" s="6">
        <v>42133</v>
      </c>
      <c r="E503" t="s">
        <v>156</v>
      </c>
      <c r="F503" t="s">
        <v>160</v>
      </c>
      <c r="G503" t="s">
        <v>18</v>
      </c>
      <c r="H503" t="s">
        <v>38</v>
      </c>
      <c r="I503" t="s">
        <v>18</v>
      </c>
      <c r="J503" t="s">
        <v>40</v>
      </c>
      <c r="K503" t="s">
        <v>21</v>
      </c>
      <c r="L503" t="s">
        <v>18</v>
      </c>
      <c r="M503">
        <v>6</v>
      </c>
      <c r="N503">
        <v>0</v>
      </c>
      <c r="O503" t="s">
        <v>178</v>
      </c>
      <c r="P503" t="s">
        <v>23</v>
      </c>
    </row>
    <row r="504" spans="1:16" x14ac:dyDescent="0.3">
      <c r="A504">
        <v>562</v>
      </c>
      <c r="B504" t="s">
        <v>15</v>
      </c>
      <c r="C504" t="s">
        <v>400</v>
      </c>
      <c r="D504" s="6">
        <v>42134</v>
      </c>
      <c r="E504" t="s">
        <v>59</v>
      </c>
      <c r="F504" t="s">
        <v>17</v>
      </c>
      <c r="G504" t="s">
        <v>50</v>
      </c>
      <c r="H504" t="s">
        <v>39</v>
      </c>
      <c r="I504" t="s">
        <v>50</v>
      </c>
      <c r="J504" t="s">
        <v>40</v>
      </c>
      <c r="K504" t="s">
        <v>21</v>
      </c>
      <c r="L504" t="s">
        <v>50</v>
      </c>
      <c r="M504">
        <v>39</v>
      </c>
      <c r="N504">
        <v>0</v>
      </c>
      <c r="O504" t="s">
        <v>191</v>
      </c>
      <c r="P504" t="s">
        <v>34</v>
      </c>
    </row>
    <row r="505" spans="1:16" x14ac:dyDescent="0.3">
      <c r="A505">
        <v>563</v>
      </c>
      <c r="B505" t="s">
        <v>98</v>
      </c>
      <c r="C505" t="s">
        <v>400</v>
      </c>
      <c r="D505" s="6">
        <v>42134</v>
      </c>
      <c r="E505" t="s">
        <v>77</v>
      </c>
      <c r="F505" t="s">
        <v>100</v>
      </c>
      <c r="G505" t="s">
        <v>19</v>
      </c>
      <c r="H505" t="s">
        <v>31</v>
      </c>
      <c r="I505" t="s">
        <v>19</v>
      </c>
      <c r="J505" t="s">
        <v>40</v>
      </c>
      <c r="K505" t="s">
        <v>21</v>
      </c>
      <c r="L505" t="s">
        <v>19</v>
      </c>
      <c r="M505">
        <v>12</v>
      </c>
      <c r="N505">
        <v>0</v>
      </c>
      <c r="O505" t="s">
        <v>125</v>
      </c>
      <c r="P505" t="s">
        <v>113</v>
      </c>
    </row>
    <row r="506" spans="1:16" x14ac:dyDescent="0.3">
      <c r="A506">
        <v>564</v>
      </c>
      <c r="B506" t="s">
        <v>53</v>
      </c>
      <c r="C506" t="s">
        <v>400</v>
      </c>
      <c r="D506" s="6">
        <v>42135</v>
      </c>
      <c r="E506" t="s">
        <v>134</v>
      </c>
      <c r="F506" t="s">
        <v>55</v>
      </c>
      <c r="G506" t="s">
        <v>18</v>
      </c>
      <c r="H506" t="s">
        <v>45</v>
      </c>
      <c r="I506" t="s">
        <v>18</v>
      </c>
      <c r="J506" t="s">
        <v>40</v>
      </c>
      <c r="K506" t="s">
        <v>21</v>
      </c>
      <c r="L506" t="s">
        <v>18</v>
      </c>
      <c r="M506">
        <v>5</v>
      </c>
      <c r="N506">
        <v>0</v>
      </c>
      <c r="O506" t="s">
        <v>108</v>
      </c>
      <c r="P506" t="s">
        <v>154</v>
      </c>
    </row>
    <row r="507" spans="1:16" x14ac:dyDescent="0.3">
      <c r="A507">
        <v>565</v>
      </c>
      <c r="B507" t="s">
        <v>158</v>
      </c>
      <c r="C507" t="s">
        <v>400</v>
      </c>
      <c r="D507" s="6">
        <v>42136</v>
      </c>
      <c r="E507" t="s">
        <v>192</v>
      </c>
      <c r="F507" t="s">
        <v>160</v>
      </c>
      <c r="G507" t="s">
        <v>19</v>
      </c>
      <c r="H507" t="s">
        <v>38</v>
      </c>
      <c r="I507" t="s">
        <v>19</v>
      </c>
      <c r="J507" t="s">
        <v>40</v>
      </c>
      <c r="K507" t="s">
        <v>21</v>
      </c>
      <c r="L507" t="s">
        <v>38</v>
      </c>
      <c r="M507">
        <v>0</v>
      </c>
      <c r="N507">
        <v>6</v>
      </c>
      <c r="O507" t="s">
        <v>180</v>
      </c>
      <c r="P507" t="s">
        <v>178</v>
      </c>
    </row>
    <row r="508" spans="1:16" x14ac:dyDescent="0.3">
      <c r="A508">
        <v>566</v>
      </c>
      <c r="B508" t="s">
        <v>123</v>
      </c>
      <c r="C508" t="s">
        <v>400</v>
      </c>
      <c r="D508" s="6">
        <v>42137</v>
      </c>
      <c r="E508" t="s">
        <v>148</v>
      </c>
      <c r="F508" t="s">
        <v>188</v>
      </c>
      <c r="G508" t="s">
        <v>45</v>
      </c>
      <c r="H508" t="s">
        <v>50</v>
      </c>
      <c r="I508" t="s">
        <v>50</v>
      </c>
      <c r="J508" t="s">
        <v>20</v>
      </c>
      <c r="K508" t="s">
        <v>21</v>
      </c>
      <c r="L508" t="s">
        <v>45</v>
      </c>
      <c r="M508">
        <v>22</v>
      </c>
      <c r="N508">
        <v>0</v>
      </c>
      <c r="O508" t="s">
        <v>191</v>
      </c>
      <c r="P508" t="s">
        <v>34</v>
      </c>
    </row>
    <row r="509" spans="1:16" x14ac:dyDescent="0.3">
      <c r="A509">
        <v>567</v>
      </c>
      <c r="B509" t="s">
        <v>15</v>
      </c>
      <c r="C509" t="s">
        <v>400</v>
      </c>
      <c r="D509" s="6">
        <v>42138</v>
      </c>
      <c r="E509" t="s">
        <v>74</v>
      </c>
      <c r="F509" t="s">
        <v>17</v>
      </c>
      <c r="G509" t="s">
        <v>39</v>
      </c>
      <c r="H509" t="s">
        <v>27</v>
      </c>
      <c r="I509" t="s">
        <v>27</v>
      </c>
      <c r="J509" t="s">
        <v>20</v>
      </c>
      <c r="K509" t="s">
        <v>21</v>
      </c>
      <c r="L509" t="s">
        <v>39</v>
      </c>
      <c r="M509">
        <v>5</v>
      </c>
      <c r="N509">
        <v>0</v>
      </c>
      <c r="O509" t="s">
        <v>180</v>
      </c>
      <c r="P509" t="s">
        <v>178</v>
      </c>
    </row>
    <row r="510" spans="1:16" x14ac:dyDescent="0.3">
      <c r="A510">
        <v>568</v>
      </c>
      <c r="B510" t="s">
        <v>53</v>
      </c>
      <c r="C510" t="s">
        <v>400</v>
      </c>
      <c r="D510" s="6">
        <v>42139</v>
      </c>
      <c r="E510" t="s">
        <v>159</v>
      </c>
      <c r="F510" t="s">
        <v>55</v>
      </c>
      <c r="G510" t="s">
        <v>18</v>
      </c>
      <c r="H510" t="s">
        <v>50</v>
      </c>
      <c r="I510" t="s">
        <v>18</v>
      </c>
      <c r="J510" t="s">
        <v>40</v>
      </c>
      <c r="K510" t="s">
        <v>21</v>
      </c>
      <c r="L510" t="s">
        <v>50</v>
      </c>
      <c r="M510">
        <v>0</v>
      </c>
      <c r="N510">
        <v>6</v>
      </c>
      <c r="O510" t="s">
        <v>108</v>
      </c>
      <c r="P510" t="s">
        <v>154</v>
      </c>
    </row>
    <row r="511" spans="1:16" x14ac:dyDescent="0.3">
      <c r="A511">
        <v>569</v>
      </c>
      <c r="B511" t="s">
        <v>123</v>
      </c>
      <c r="C511" t="s">
        <v>400</v>
      </c>
      <c r="D511" s="6">
        <v>42140</v>
      </c>
      <c r="E511" t="s">
        <v>187</v>
      </c>
      <c r="F511" t="s">
        <v>188</v>
      </c>
      <c r="G511" t="s">
        <v>45</v>
      </c>
      <c r="H511" t="s">
        <v>19</v>
      </c>
      <c r="I511" t="s">
        <v>45</v>
      </c>
      <c r="J511" t="s">
        <v>40</v>
      </c>
      <c r="K511" t="s">
        <v>21</v>
      </c>
      <c r="L511" t="s">
        <v>19</v>
      </c>
      <c r="M511">
        <v>0</v>
      </c>
      <c r="N511">
        <v>7</v>
      </c>
      <c r="O511" t="s">
        <v>113</v>
      </c>
      <c r="P511" t="s">
        <v>34</v>
      </c>
    </row>
    <row r="512" spans="1:16" x14ac:dyDescent="0.3">
      <c r="A512">
        <v>570</v>
      </c>
      <c r="B512" t="s">
        <v>15</v>
      </c>
      <c r="C512" t="s">
        <v>400</v>
      </c>
      <c r="D512" s="6">
        <v>42140</v>
      </c>
      <c r="E512" t="s">
        <v>16</v>
      </c>
      <c r="F512" t="s">
        <v>189</v>
      </c>
      <c r="G512" t="s">
        <v>31</v>
      </c>
      <c r="H512" t="s">
        <v>27</v>
      </c>
      <c r="I512" t="s">
        <v>31</v>
      </c>
      <c r="J512" t="s">
        <v>40</v>
      </c>
      <c r="K512" t="s">
        <v>21</v>
      </c>
      <c r="L512" t="s">
        <v>31</v>
      </c>
      <c r="M512">
        <v>9</v>
      </c>
      <c r="N512">
        <v>0</v>
      </c>
      <c r="O512" t="s">
        <v>190</v>
      </c>
      <c r="P512" t="s">
        <v>180</v>
      </c>
    </row>
    <row r="513" spans="1:16" x14ac:dyDescent="0.3">
      <c r="A513">
        <v>571</v>
      </c>
      <c r="B513" t="s">
        <v>105</v>
      </c>
      <c r="C513" t="s">
        <v>400</v>
      </c>
      <c r="D513" s="6">
        <v>42141</v>
      </c>
      <c r="F513" t="s">
        <v>60</v>
      </c>
      <c r="G513" t="s">
        <v>38</v>
      </c>
      <c r="H513" t="s">
        <v>50</v>
      </c>
      <c r="I513" t="s">
        <v>50</v>
      </c>
      <c r="J513" t="s">
        <v>20</v>
      </c>
      <c r="K513" t="s">
        <v>183</v>
      </c>
      <c r="L513" t="s">
        <v>184</v>
      </c>
      <c r="M513">
        <v>0</v>
      </c>
      <c r="N513">
        <v>0</v>
      </c>
      <c r="O513" t="s">
        <v>154</v>
      </c>
      <c r="P513" t="s">
        <v>185</v>
      </c>
    </row>
    <row r="514" spans="1:16" x14ac:dyDescent="0.3">
      <c r="A514">
        <v>572</v>
      </c>
      <c r="B514" t="s">
        <v>53</v>
      </c>
      <c r="C514" t="s">
        <v>400</v>
      </c>
      <c r="D514" s="6">
        <v>42141</v>
      </c>
      <c r="E514" t="s">
        <v>143</v>
      </c>
      <c r="F514" t="s">
        <v>55</v>
      </c>
      <c r="G514" t="s">
        <v>18</v>
      </c>
      <c r="H514" t="s">
        <v>39</v>
      </c>
      <c r="I514" t="s">
        <v>18</v>
      </c>
      <c r="J514" t="s">
        <v>40</v>
      </c>
      <c r="K514" t="s">
        <v>21</v>
      </c>
      <c r="L514" t="s">
        <v>39</v>
      </c>
      <c r="M514">
        <v>0</v>
      </c>
      <c r="N514">
        <v>9</v>
      </c>
      <c r="O514" t="s">
        <v>130</v>
      </c>
      <c r="P514" t="s">
        <v>186</v>
      </c>
    </row>
    <row r="515" spans="1:16" x14ac:dyDescent="0.3">
      <c r="A515">
        <v>573</v>
      </c>
      <c r="B515" t="s">
        <v>15</v>
      </c>
      <c r="C515" t="s">
        <v>400</v>
      </c>
      <c r="D515" s="6">
        <v>42143</v>
      </c>
      <c r="E515" t="s">
        <v>147</v>
      </c>
      <c r="F515" t="s">
        <v>17</v>
      </c>
      <c r="G515" t="s">
        <v>39</v>
      </c>
      <c r="H515" t="s">
        <v>19</v>
      </c>
      <c r="I515" t="s">
        <v>39</v>
      </c>
      <c r="J515" t="s">
        <v>40</v>
      </c>
      <c r="K515" t="s">
        <v>21</v>
      </c>
      <c r="L515" t="s">
        <v>39</v>
      </c>
      <c r="M515">
        <v>25</v>
      </c>
      <c r="N515">
        <v>0</v>
      </c>
      <c r="O515" t="s">
        <v>154</v>
      </c>
      <c r="P515" t="s">
        <v>180</v>
      </c>
    </row>
    <row r="516" spans="1:16" x14ac:dyDescent="0.3">
      <c r="A516">
        <v>574</v>
      </c>
      <c r="B516" t="s">
        <v>42</v>
      </c>
      <c r="C516" t="s">
        <v>400</v>
      </c>
      <c r="D516" s="6">
        <v>42144</v>
      </c>
      <c r="E516" t="s">
        <v>59</v>
      </c>
      <c r="F516" t="s">
        <v>44</v>
      </c>
      <c r="G516" t="s">
        <v>50</v>
      </c>
      <c r="H516" t="s">
        <v>31</v>
      </c>
      <c r="I516" t="s">
        <v>50</v>
      </c>
      <c r="J516" t="s">
        <v>40</v>
      </c>
      <c r="K516" t="s">
        <v>21</v>
      </c>
      <c r="L516" t="s">
        <v>50</v>
      </c>
      <c r="M516">
        <v>71</v>
      </c>
      <c r="N516">
        <v>0</v>
      </c>
      <c r="O516" t="s">
        <v>108</v>
      </c>
      <c r="P516" t="s">
        <v>34</v>
      </c>
    </row>
    <row r="517" spans="1:16" x14ac:dyDescent="0.3">
      <c r="A517">
        <v>575</v>
      </c>
      <c r="B517" t="s">
        <v>181</v>
      </c>
      <c r="C517" t="s">
        <v>400</v>
      </c>
      <c r="D517" s="6">
        <v>42146</v>
      </c>
      <c r="E517" t="s">
        <v>168</v>
      </c>
      <c r="F517" t="s">
        <v>182</v>
      </c>
      <c r="G517" t="s">
        <v>50</v>
      </c>
      <c r="H517" t="s">
        <v>19</v>
      </c>
      <c r="I517" t="s">
        <v>19</v>
      </c>
      <c r="J517" t="s">
        <v>20</v>
      </c>
      <c r="K517" t="s">
        <v>21</v>
      </c>
      <c r="L517" t="s">
        <v>19</v>
      </c>
      <c r="M517">
        <v>0</v>
      </c>
      <c r="N517">
        <v>3</v>
      </c>
      <c r="O517" t="s">
        <v>108</v>
      </c>
      <c r="P517" t="s">
        <v>130</v>
      </c>
    </row>
    <row r="518" spans="1:16" x14ac:dyDescent="0.3">
      <c r="A518">
        <v>576</v>
      </c>
      <c r="B518" t="s">
        <v>24</v>
      </c>
      <c r="C518" t="s">
        <v>400</v>
      </c>
      <c r="D518" s="6">
        <v>42148</v>
      </c>
      <c r="E518" t="s">
        <v>83</v>
      </c>
      <c r="F518" t="s">
        <v>26</v>
      </c>
      <c r="G518" t="s">
        <v>39</v>
      </c>
      <c r="H518" t="s">
        <v>19</v>
      </c>
      <c r="I518" t="s">
        <v>19</v>
      </c>
      <c r="J518" t="s">
        <v>20</v>
      </c>
      <c r="K518" t="s">
        <v>21</v>
      </c>
      <c r="L518" t="s">
        <v>39</v>
      </c>
      <c r="M518">
        <v>41</v>
      </c>
      <c r="N518">
        <v>0</v>
      </c>
      <c r="O518" t="s">
        <v>154</v>
      </c>
      <c r="P518" t="s">
        <v>180</v>
      </c>
    </row>
    <row r="519" spans="1:16" x14ac:dyDescent="0.3">
      <c r="A519">
        <v>577</v>
      </c>
      <c r="B519" t="s">
        <v>15</v>
      </c>
      <c r="C519" t="s">
        <v>397</v>
      </c>
      <c r="D519" s="6">
        <v>42469</v>
      </c>
      <c r="E519" t="s">
        <v>171</v>
      </c>
      <c r="F519" t="s">
        <v>17</v>
      </c>
      <c r="G519" t="s">
        <v>39</v>
      </c>
      <c r="H519" t="s">
        <v>103</v>
      </c>
      <c r="I519" t="s">
        <v>39</v>
      </c>
      <c r="J519" t="s">
        <v>40</v>
      </c>
      <c r="K519" t="s">
        <v>21</v>
      </c>
      <c r="L519" t="s">
        <v>103</v>
      </c>
      <c r="M519">
        <v>0</v>
      </c>
      <c r="N519">
        <v>9</v>
      </c>
      <c r="O519" t="s">
        <v>154</v>
      </c>
      <c r="P519" t="s">
        <v>113</v>
      </c>
    </row>
    <row r="520" spans="1:16" x14ac:dyDescent="0.3">
      <c r="A520">
        <v>578</v>
      </c>
      <c r="B520" t="s">
        <v>24</v>
      </c>
      <c r="C520" t="s">
        <v>397</v>
      </c>
      <c r="D520" s="6">
        <v>42470</v>
      </c>
      <c r="E520" t="s">
        <v>30</v>
      </c>
      <c r="F520" t="s">
        <v>26</v>
      </c>
      <c r="G520" t="s">
        <v>38</v>
      </c>
      <c r="H520" t="s">
        <v>27</v>
      </c>
      <c r="I520" t="s">
        <v>27</v>
      </c>
      <c r="J520" t="s">
        <v>20</v>
      </c>
      <c r="K520" t="s">
        <v>21</v>
      </c>
      <c r="L520" t="s">
        <v>27</v>
      </c>
      <c r="M520">
        <v>0</v>
      </c>
      <c r="N520">
        <v>9</v>
      </c>
      <c r="O520" t="s">
        <v>23</v>
      </c>
      <c r="P520" t="s">
        <v>34</v>
      </c>
    </row>
    <row r="521" spans="1:16" x14ac:dyDescent="0.3">
      <c r="A521">
        <v>579</v>
      </c>
      <c r="B521" t="s">
        <v>123</v>
      </c>
      <c r="C521" t="s">
        <v>397</v>
      </c>
      <c r="D521" s="6">
        <v>42471</v>
      </c>
      <c r="E521" t="s">
        <v>179</v>
      </c>
      <c r="F521" t="s">
        <v>93</v>
      </c>
      <c r="G521" t="s">
        <v>45</v>
      </c>
      <c r="H521" t="s">
        <v>117</v>
      </c>
      <c r="I521" t="s">
        <v>117</v>
      </c>
      <c r="J521" t="s">
        <v>20</v>
      </c>
      <c r="K521" t="s">
        <v>21</v>
      </c>
      <c r="L521" t="s">
        <v>117</v>
      </c>
      <c r="M521">
        <v>0</v>
      </c>
      <c r="N521">
        <v>5</v>
      </c>
      <c r="O521" t="s">
        <v>108</v>
      </c>
      <c r="P521" t="s">
        <v>178</v>
      </c>
    </row>
    <row r="522" spans="1:16" x14ac:dyDescent="0.3">
      <c r="A522">
        <v>580</v>
      </c>
      <c r="B522" t="s">
        <v>105</v>
      </c>
      <c r="C522" t="s">
        <v>397</v>
      </c>
      <c r="D522" s="6">
        <v>42472</v>
      </c>
      <c r="E522" t="s">
        <v>59</v>
      </c>
      <c r="F522" t="s">
        <v>60</v>
      </c>
      <c r="G522" t="s">
        <v>50</v>
      </c>
      <c r="H522" t="s">
        <v>18</v>
      </c>
      <c r="I522" t="s">
        <v>18</v>
      </c>
      <c r="J522" t="s">
        <v>20</v>
      </c>
      <c r="K522" t="s">
        <v>21</v>
      </c>
      <c r="L522" t="s">
        <v>50</v>
      </c>
      <c r="M522">
        <v>45</v>
      </c>
      <c r="N522">
        <v>0</v>
      </c>
      <c r="O522" t="s">
        <v>154</v>
      </c>
      <c r="P522" t="s">
        <v>127</v>
      </c>
    </row>
    <row r="523" spans="1:16" x14ac:dyDescent="0.3">
      <c r="A523">
        <v>581</v>
      </c>
      <c r="B523" t="s">
        <v>24</v>
      </c>
      <c r="C523" t="s">
        <v>397</v>
      </c>
      <c r="D523" s="6">
        <v>42473</v>
      </c>
      <c r="E523" t="s">
        <v>83</v>
      </c>
      <c r="F523" t="s">
        <v>26</v>
      </c>
      <c r="G523" t="s">
        <v>27</v>
      </c>
      <c r="H523" t="s">
        <v>39</v>
      </c>
      <c r="I523" t="s">
        <v>39</v>
      </c>
      <c r="J523" t="s">
        <v>20</v>
      </c>
      <c r="K523" t="s">
        <v>21</v>
      </c>
      <c r="L523" t="s">
        <v>39</v>
      </c>
      <c r="M523">
        <v>0</v>
      </c>
      <c r="N523">
        <v>6</v>
      </c>
      <c r="O523" t="s">
        <v>28</v>
      </c>
      <c r="P523" t="s">
        <v>23</v>
      </c>
    </row>
    <row r="524" spans="1:16" x14ac:dyDescent="0.3">
      <c r="A524">
        <v>582</v>
      </c>
      <c r="B524" t="s">
        <v>136</v>
      </c>
      <c r="C524" t="s">
        <v>397</v>
      </c>
      <c r="D524" s="6">
        <v>42474</v>
      </c>
      <c r="E524" t="s">
        <v>179</v>
      </c>
      <c r="F524" t="s">
        <v>137</v>
      </c>
      <c r="G524" t="s">
        <v>103</v>
      </c>
      <c r="H524" t="s">
        <v>117</v>
      </c>
      <c r="I524" t="s">
        <v>103</v>
      </c>
      <c r="J524" t="s">
        <v>40</v>
      </c>
      <c r="K524" t="s">
        <v>21</v>
      </c>
      <c r="L524" t="s">
        <v>117</v>
      </c>
      <c r="M524">
        <v>0</v>
      </c>
      <c r="N524">
        <v>7</v>
      </c>
      <c r="O524" t="s">
        <v>178</v>
      </c>
      <c r="P524" t="s">
        <v>113</v>
      </c>
    </row>
    <row r="525" spans="1:16" x14ac:dyDescent="0.3">
      <c r="A525">
        <v>583</v>
      </c>
      <c r="B525" t="s">
        <v>35</v>
      </c>
      <c r="C525" t="s">
        <v>397</v>
      </c>
      <c r="D525" s="6">
        <v>42475</v>
      </c>
      <c r="E525" t="s">
        <v>36</v>
      </c>
      <c r="F525" t="s">
        <v>37</v>
      </c>
      <c r="G525" t="s">
        <v>45</v>
      </c>
      <c r="H525" t="s">
        <v>38</v>
      </c>
      <c r="I525" t="s">
        <v>38</v>
      </c>
      <c r="J525" t="s">
        <v>20</v>
      </c>
      <c r="K525" t="s">
        <v>21</v>
      </c>
      <c r="L525" t="s">
        <v>38</v>
      </c>
      <c r="M525">
        <v>0</v>
      </c>
      <c r="N525">
        <v>8</v>
      </c>
      <c r="O525" t="s">
        <v>23</v>
      </c>
      <c r="P525" t="s">
        <v>34</v>
      </c>
    </row>
    <row r="526" spans="1:16" x14ac:dyDescent="0.3">
      <c r="A526">
        <v>584</v>
      </c>
      <c r="B526" t="s">
        <v>53</v>
      </c>
      <c r="C526" t="s">
        <v>397</v>
      </c>
      <c r="D526" s="6">
        <v>42476</v>
      </c>
      <c r="E526" t="s">
        <v>139</v>
      </c>
      <c r="F526" t="s">
        <v>55</v>
      </c>
      <c r="G526" t="s">
        <v>18</v>
      </c>
      <c r="H526" t="s">
        <v>27</v>
      </c>
      <c r="I526" t="s">
        <v>18</v>
      </c>
      <c r="J526" t="s">
        <v>40</v>
      </c>
      <c r="K526" t="s">
        <v>21</v>
      </c>
      <c r="L526" t="s">
        <v>27</v>
      </c>
      <c r="M526">
        <v>0</v>
      </c>
      <c r="N526">
        <v>8</v>
      </c>
      <c r="O526" t="s">
        <v>108</v>
      </c>
      <c r="P526" t="s">
        <v>113</v>
      </c>
    </row>
    <row r="527" spans="1:16" x14ac:dyDescent="0.3">
      <c r="A527">
        <v>585</v>
      </c>
      <c r="B527" t="s">
        <v>15</v>
      </c>
      <c r="C527" t="s">
        <v>397</v>
      </c>
      <c r="D527" s="6">
        <v>42476</v>
      </c>
      <c r="E527" t="s">
        <v>179</v>
      </c>
      <c r="F527" t="s">
        <v>17</v>
      </c>
      <c r="G527" t="s">
        <v>39</v>
      </c>
      <c r="H527" t="s">
        <v>117</v>
      </c>
      <c r="I527" t="s">
        <v>117</v>
      </c>
      <c r="J527" t="s">
        <v>20</v>
      </c>
      <c r="K527" t="s">
        <v>21</v>
      </c>
      <c r="L527" t="s">
        <v>117</v>
      </c>
      <c r="M527">
        <v>0</v>
      </c>
      <c r="N527">
        <v>3</v>
      </c>
      <c r="O527" t="s">
        <v>154</v>
      </c>
      <c r="P527" t="s">
        <v>127</v>
      </c>
    </row>
    <row r="528" spans="1:16" x14ac:dyDescent="0.3">
      <c r="A528">
        <v>586</v>
      </c>
      <c r="B528" t="s">
        <v>123</v>
      </c>
      <c r="C528" t="s">
        <v>397</v>
      </c>
      <c r="D528" s="6">
        <v>42477</v>
      </c>
      <c r="E528" t="s">
        <v>176</v>
      </c>
      <c r="F528" t="s">
        <v>93</v>
      </c>
      <c r="G528" t="s">
        <v>103</v>
      </c>
      <c r="H528" t="s">
        <v>45</v>
      </c>
      <c r="I528" t="s">
        <v>103</v>
      </c>
      <c r="J528" t="s">
        <v>40</v>
      </c>
      <c r="K528" t="s">
        <v>21</v>
      </c>
      <c r="L528" t="s">
        <v>45</v>
      </c>
      <c r="M528">
        <v>0</v>
      </c>
      <c r="N528">
        <v>6</v>
      </c>
      <c r="O528" t="s">
        <v>23</v>
      </c>
      <c r="P528" t="s">
        <v>34</v>
      </c>
    </row>
    <row r="529" spans="1:16" x14ac:dyDescent="0.3">
      <c r="A529">
        <v>587</v>
      </c>
      <c r="B529" t="s">
        <v>105</v>
      </c>
      <c r="C529" t="s">
        <v>397</v>
      </c>
      <c r="D529" s="6">
        <v>42477</v>
      </c>
      <c r="E529" t="s">
        <v>177</v>
      </c>
      <c r="F529" t="s">
        <v>60</v>
      </c>
      <c r="G529" t="s">
        <v>50</v>
      </c>
      <c r="H529" t="s">
        <v>38</v>
      </c>
      <c r="I529" t="s">
        <v>38</v>
      </c>
      <c r="J529" t="s">
        <v>20</v>
      </c>
      <c r="K529" t="s">
        <v>21</v>
      </c>
      <c r="L529" t="s">
        <v>38</v>
      </c>
      <c r="M529">
        <v>0</v>
      </c>
      <c r="N529">
        <v>7</v>
      </c>
      <c r="O529" t="s">
        <v>178</v>
      </c>
      <c r="P529" t="s">
        <v>118</v>
      </c>
    </row>
    <row r="530" spans="1:16" x14ac:dyDescent="0.3">
      <c r="A530">
        <v>588</v>
      </c>
      <c r="B530" t="s">
        <v>53</v>
      </c>
      <c r="C530" t="s">
        <v>397</v>
      </c>
      <c r="D530" s="6">
        <v>42478</v>
      </c>
      <c r="E530" t="s">
        <v>134</v>
      </c>
      <c r="F530" t="s">
        <v>55</v>
      </c>
      <c r="G530" t="s">
        <v>39</v>
      </c>
      <c r="H530" t="s">
        <v>18</v>
      </c>
      <c r="I530" t="s">
        <v>18</v>
      </c>
      <c r="J530" t="s">
        <v>20</v>
      </c>
      <c r="K530" t="s">
        <v>21</v>
      </c>
      <c r="L530" t="s">
        <v>18</v>
      </c>
      <c r="M530">
        <v>0</v>
      </c>
      <c r="N530">
        <v>7</v>
      </c>
      <c r="O530" t="s">
        <v>154</v>
      </c>
      <c r="P530" t="s">
        <v>127</v>
      </c>
    </row>
    <row r="531" spans="1:16" x14ac:dyDescent="0.3">
      <c r="A531">
        <v>589</v>
      </c>
      <c r="B531" t="s">
        <v>123</v>
      </c>
      <c r="C531" t="s">
        <v>397</v>
      </c>
      <c r="D531" s="6">
        <v>42479</v>
      </c>
      <c r="E531" t="s">
        <v>141</v>
      </c>
      <c r="F531" t="s">
        <v>93</v>
      </c>
      <c r="G531" t="s">
        <v>45</v>
      </c>
      <c r="H531" t="s">
        <v>27</v>
      </c>
      <c r="I531" t="s">
        <v>27</v>
      </c>
      <c r="J531" t="s">
        <v>20</v>
      </c>
      <c r="K531" t="s">
        <v>21</v>
      </c>
      <c r="L531" t="s">
        <v>27</v>
      </c>
      <c r="M531">
        <v>0</v>
      </c>
      <c r="N531">
        <v>6</v>
      </c>
      <c r="O531" t="s">
        <v>23</v>
      </c>
      <c r="P531" t="s">
        <v>34</v>
      </c>
    </row>
    <row r="532" spans="1:16" x14ac:dyDescent="0.3">
      <c r="A532">
        <v>590</v>
      </c>
      <c r="B532" t="s">
        <v>15</v>
      </c>
      <c r="C532" t="s">
        <v>397</v>
      </c>
      <c r="D532" s="6">
        <v>42480</v>
      </c>
      <c r="E532" t="s">
        <v>83</v>
      </c>
      <c r="F532" t="s">
        <v>17</v>
      </c>
      <c r="G532" t="s">
        <v>50</v>
      </c>
      <c r="H532" t="s">
        <v>39</v>
      </c>
      <c r="I532" t="s">
        <v>39</v>
      </c>
      <c r="J532" t="s">
        <v>20</v>
      </c>
      <c r="K532" t="s">
        <v>21</v>
      </c>
      <c r="L532" t="s">
        <v>39</v>
      </c>
      <c r="M532">
        <v>0</v>
      </c>
      <c r="N532">
        <v>6</v>
      </c>
      <c r="O532" t="s">
        <v>108</v>
      </c>
      <c r="P532" t="s">
        <v>113</v>
      </c>
    </row>
    <row r="533" spans="1:16" x14ac:dyDescent="0.3">
      <c r="A533">
        <v>591</v>
      </c>
      <c r="B533" t="s">
        <v>136</v>
      </c>
      <c r="C533" t="s">
        <v>397</v>
      </c>
      <c r="D533" s="6">
        <v>42481</v>
      </c>
      <c r="E533" t="s">
        <v>145</v>
      </c>
      <c r="F533" t="s">
        <v>137</v>
      </c>
      <c r="G533" t="s">
        <v>117</v>
      </c>
      <c r="H533" t="s">
        <v>18</v>
      </c>
      <c r="I533" t="s">
        <v>18</v>
      </c>
      <c r="J533" t="s">
        <v>20</v>
      </c>
      <c r="K533" t="s">
        <v>21</v>
      </c>
      <c r="L533" t="s">
        <v>18</v>
      </c>
      <c r="M533">
        <v>0</v>
      </c>
      <c r="N533">
        <v>10</v>
      </c>
      <c r="O533" t="s">
        <v>166</v>
      </c>
      <c r="P533" t="s">
        <v>154</v>
      </c>
    </row>
    <row r="534" spans="1:16" x14ac:dyDescent="0.3">
      <c r="A534">
        <v>592</v>
      </c>
      <c r="B534" t="s">
        <v>42</v>
      </c>
      <c r="C534" t="s">
        <v>397</v>
      </c>
      <c r="D534" s="6">
        <v>42482</v>
      </c>
      <c r="E534" t="s">
        <v>59</v>
      </c>
      <c r="F534" t="s">
        <v>44</v>
      </c>
      <c r="G534" t="s">
        <v>50</v>
      </c>
      <c r="H534" t="s">
        <v>103</v>
      </c>
      <c r="I534" t="s">
        <v>103</v>
      </c>
      <c r="J534" t="s">
        <v>20</v>
      </c>
      <c r="K534" t="s">
        <v>21</v>
      </c>
      <c r="L534" t="s">
        <v>50</v>
      </c>
      <c r="M534">
        <v>13</v>
      </c>
      <c r="N534">
        <v>0</v>
      </c>
      <c r="O534" t="s">
        <v>130</v>
      </c>
      <c r="P534" t="s">
        <v>127</v>
      </c>
    </row>
    <row r="535" spans="1:16" x14ac:dyDescent="0.3">
      <c r="A535">
        <v>593</v>
      </c>
      <c r="B535" t="s">
        <v>35</v>
      </c>
      <c r="C535" t="s">
        <v>397</v>
      </c>
      <c r="D535" s="6">
        <v>42483</v>
      </c>
      <c r="E535" t="s">
        <v>95</v>
      </c>
      <c r="F535" t="s">
        <v>37</v>
      </c>
      <c r="G535" t="s">
        <v>38</v>
      </c>
      <c r="H535" t="s">
        <v>39</v>
      </c>
      <c r="I535" t="s">
        <v>39</v>
      </c>
      <c r="J535" t="s">
        <v>20</v>
      </c>
      <c r="K535" t="s">
        <v>21</v>
      </c>
      <c r="L535" t="s">
        <v>38</v>
      </c>
      <c r="M535">
        <v>10</v>
      </c>
      <c r="N535">
        <v>0</v>
      </c>
      <c r="O535" t="s">
        <v>23</v>
      </c>
      <c r="P535" t="s">
        <v>34</v>
      </c>
    </row>
    <row r="536" spans="1:16" x14ac:dyDescent="0.3">
      <c r="A536">
        <v>594</v>
      </c>
      <c r="B536" t="s">
        <v>53</v>
      </c>
      <c r="C536" t="s">
        <v>397</v>
      </c>
      <c r="D536" s="6">
        <v>42483</v>
      </c>
      <c r="E536" t="s">
        <v>175</v>
      </c>
      <c r="F536" t="s">
        <v>55</v>
      </c>
      <c r="G536" t="s">
        <v>45</v>
      </c>
      <c r="H536" t="s">
        <v>18</v>
      </c>
      <c r="I536" t="s">
        <v>18</v>
      </c>
      <c r="J536" t="s">
        <v>20</v>
      </c>
      <c r="K536" t="s">
        <v>21</v>
      </c>
      <c r="L536" t="s">
        <v>18</v>
      </c>
      <c r="M536">
        <v>0</v>
      </c>
      <c r="N536">
        <v>5</v>
      </c>
      <c r="O536" t="s">
        <v>108</v>
      </c>
      <c r="P536" t="s">
        <v>113</v>
      </c>
    </row>
    <row r="537" spans="1:16" x14ac:dyDescent="0.3">
      <c r="A537">
        <v>595</v>
      </c>
      <c r="B537" t="s">
        <v>136</v>
      </c>
      <c r="C537" t="s">
        <v>397</v>
      </c>
      <c r="D537" s="6">
        <v>42484</v>
      </c>
      <c r="E537" t="s">
        <v>159</v>
      </c>
      <c r="F537" t="s">
        <v>137</v>
      </c>
      <c r="G537" t="s">
        <v>50</v>
      </c>
      <c r="H537" t="s">
        <v>117</v>
      </c>
      <c r="I537" t="s">
        <v>50</v>
      </c>
      <c r="J537" t="s">
        <v>40</v>
      </c>
      <c r="K537" t="s">
        <v>21</v>
      </c>
      <c r="L537" t="s">
        <v>117</v>
      </c>
      <c r="M537">
        <v>0</v>
      </c>
      <c r="N537">
        <v>6</v>
      </c>
      <c r="O537" t="s">
        <v>166</v>
      </c>
      <c r="P537" t="s">
        <v>155</v>
      </c>
    </row>
    <row r="538" spans="1:16" x14ac:dyDescent="0.3">
      <c r="A538">
        <v>596</v>
      </c>
      <c r="B538" t="s">
        <v>42</v>
      </c>
      <c r="C538" t="s">
        <v>397</v>
      </c>
      <c r="D538" s="6">
        <v>42484</v>
      </c>
      <c r="E538" t="s">
        <v>174</v>
      </c>
      <c r="F538" t="s">
        <v>44</v>
      </c>
      <c r="G538" t="s">
        <v>103</v>
      </c>
      <c r="H538" t="s">
        <v>27</v>
      </c>
      <c r="I538" t="s">
        <v>27</v>
      </c>
      <c r="J538" t="s">
        <v>20</v>
      </c>
      <c r="K538" t="s">
        <v>21</v>
      </c>
      <c r="L538" t="s">
        <v>27</v>
      </c>
      <c r="M538">
        <v>0</v>
      </c>
      <c r="N538">
        <v>2</v>
      </c>
      <c r="O538" t="s">
        <v>130</v>
      </c>
      <c r="P538" t="s">
        <v>118</v>
      </c>
    </row>
    <row r="539" spans="1:16" x14ac:dyDescent="0.3">
      <c r="A539">
        <v>597</v>
      </c>
      <c r="B539" t="s">
        <v>123</v>
      </c>
      <c r="C539" t="s">
        <v>397</v>
      </c>
      <c r="D539" s="6">
        <v>42485</v>
      </c>
      <c r="E539" t="s">
        <v>173</v>
      </c>
      <c r="F539" t="s">
        <v>93</v>
      </c>
      <c r="G539" t="s">
        <v>39</v>
      </c>
      <c r="H539" t="s">
        <v>45</v>
      </c>
      <c r="I539" t="s">
        <v>45</v>
      </c>
      <c r="J539" t="s">
        <v>20</v>
      </c>
      <c r="K539" t="s">
        <v>21</v>
      </c>
      <c r="L539" t="s">
        <v>39</v>
      </c>
      <c r="M539">
        <v>25</v>
      </c>
      <c r="N539">
        <v>0</v>
      </c>
      <c r="O539" t="s">
        <v>28</v>
      </c>
      <c r="P539" t="s">
        <v>170</v>
      </c>
    </row>
    <row r="540" spans="1:16" x14ac:dyDescent="0.3">
      <c r="A540">
        <v>598</v>
      </c>
      <c r="B540" t="s">
        <v>53</v>
      </c>
      <c r="C540" t="s">
        <v>397</v>
      </c>
      <c r="D540" s="6">
        <v>42486</v>
      </c>
      <c r="E540" t="s">
        <v>163</v>
      </c>
      <c r="F540" t="s">
        <v>55</v>
      </c>
      <c r="G540" t="s">
        <v>18</v>
      </c>
      <c r="H540" t="s">
        <v>103</v>
      </c>
      <c r="I540" t="s">
        <v>103</v>
      </c>
      <c r="J540" t="s">
        <v>20</v>
      </c>
      <c r="K540" t="s">
        <v>21</v>
      </c>
      <c r="L540" t="s">
        <v>103</v>
      </c>
      <c r="M540">
        <v>34</v>
      </c>
      <c r="N540">
        <v>0</v>
      </c>
      <c r="O540" t="s">
        <v>111</v>
      </c>
      <c r="P540" t="s">
        <v>113</v>
      </c>
    </row>
    <row r="541" spans="1:16" x14ac:dyDescent="0.3">
      <c r="A541">
        <v>599</v>
      </c>
      <c r="B541" t="s">
        <v>35</v>
      </c>
      <c r="C541" t="s">
        <v>397</v>
      </c>
      <c r="D541" s="6">
        <v>42487</v>
      </c>
      <c r="E541" t="s">
        <v>165</v>
      </c>
      <c r="F541" t="s">
        <v>37</v>
      </c>
      <c r="G541" t="s">
        <v>117</v>
      </c>
      <c r="H541" t="s">
        <v>38</v>
      </c>
      <c r="I541" t="s">
        <v>38</v>
      </c>
      <c r="J541" t="s">
        <v>20</v>
      </c>
      <c r="K541" t="s">
        <v>21</v>
      </c>
      <c r="L541" t="s">
        <v>117</v>
      </c>
      <c r="M541">
        <v>1</v>
      </c>
      <c r="N541">
        <v>0</v>
      </c>
      <c r="O541" t="s">
        <v>125</v>
      </c>
      <c r="P541" t="s">
        <v>23</v>
      </c>
    </row>
    <row r="542" spans="1:16" x14ac:dyDescent="0.3">
      <c r="A542">
        <v>600</v>
      </c>
      <c r="B542" t="s">
        <v>15</v>
      </c>
      <c r="C542" t="s">
        <v>397</v>
      </c>
      <c r="D542" s="6">
        <v>42488</v>
      </c>
      <c r="E542" t="s">
        <v>83</v>
      </c>
      <c r="F542" t="s">
        <v>17</v>
      </c>
      <c r="G542" t="s">
        <v>27</v>
      </c>
      <c r="H542" t="s">
        <v>39</v>
      </c>
      <c r="I542" t="s">
        <v>39</v>
      </c>
      <c r="J542" t="s">
        <v>20</v>
      </c>
      <c r="K542" t="s">
        <v>21</v>
      </c>
      <c r="L542" t="s">
        <v>39</v>
      </c>
      <c r="M542">
        <v>0</v>
      </c>
      <c r="N542">
        <v>6</v>
      </c>
      <c r="O542" t="s">
        <v>28</v>
      </c>
      <c r="P542" t="s">
        <v>170</v>
      </c>
    </row>
    <row r="543" spans="1:16" x14ac:dyDescent="0.3">
      <c r="A543">
        <v>601</v>
      </c>
      <c r="B543" t="s">
        <v>42</v>
      </c>
      <c r="C543" t="s">
        <v>397</v>
      </c>
      <c r="D543" s="6">
        <v>42489</v>
      </c>
      <c r="E543" t="s">
        <v>126</v>
      </c>
      <c r="F543" t="s">
        <v>44</v>
      </c>
      <c r="G543" t="s">
        <v>103</v>
      </c>
      <c r="H543" t="s">
        <v>117</v>
      </c>
      <c r="I543" t="s">
        <v>117</v>
      </c>
      <c r="J543" t="s">
        <v>20</v>
      </c>
      <c r="K543" t="s">
        <v>21</v>
      </c>
      <c r="L543" t="s">
        <v>117</v>
      </c>
      <c r="M543">
        <v>0</v>
      </c>
      <c r="N543">
        <v>3</v>
      </c>
      <c r="O543" t="s">
        <v>130</v>
      </c>
      <c r="P543" t="s">
        <v>155</v>
      </c>
    </row>
    <row r="544" spans="1:16" x14ac:dyDescent="0.3">
      <c r="A544">
        <v>602</v>
      </c>
      <c r="B544" t="s">
        <v>35</v>
      </c>
      <c r="C544" t="s">
        <v>397</v>
      </c>
      <c r="D544" s="6">
        <v>42490</v>
      </c>
      <c r="E544" t="s">
        <v>172</v>
      </c>
      <c r="F544" t="s">
        <v>37</v>
      </c>
      <c r="G544" t="s">
        <v>38</v>
      </c>
      <c r="H544" t="s">
        <v>27</v>
      </c>
      <c r="I544" t="s">
        <v>27</v>
      </c>
      <c r="J544" t="s">
        <v>20</v>
      </c>
      <c r="K544" t="s">
        <v>21</v>
      </c>
      <c r="L544" t="s">
        <v>38</v>
      </c>
      <c r="M544">
        <v>27</v>
      </c>
      <c r="N544">
        <v>0</v>
      </c>
      <c r="O544" t="s">
        <v>120</v>
      </c>
      <c r="P544" t="s">
        <v>125</v>
      </c>
    </row>
    <row r="545" spans="1:16" x14ac:dyDescent="0.3">
      <c r="A545">
        <v>603</v>
      </c>
      <c r="B545" t="s">
        <v>53</v>
      </c>
      <c r="C545" t="s">
        <v>397</v>
      </c>
      <c r="D545" s="6">
        <v>42490</v>
      </c>
      <c r="E545" t="s">
        <v>134</v>
      </c>
      <c r="F545" t="s">
        <v>55</v>
      </c>
      <c r="G545" t="s">
        <v>18</v>
      </c>
      <c r="H545" t="s">
        <v>50</v>
      </c>
      <c r="I545" t="s">
        <v>50</v>
      </c>
      <c r="J545" t="s">
        <v>20</v>
      </c>
      <c r="K545" t="s">
        <v>21</v>
      </c>
      <c r="L545" t="s">
        <v>18</v>
      </c>
      <c r="M545">
        <v>15</v>
      </c>
      <c r="N545">
        <v>0</v>
      </c>
      <c r="O545" t="s">
        <v>108</v>
      </c>
      <c r="P545" t="s">
        <v>154</v>
      </c>
    </row>
    <row r="546" spans="1:16" x14ac:dyDescent="0.3">
      <c r="A546">
        <v>604</v>
      </c>
      <c r="B546" t="s">
        <v>136</v>
      </c>
      <c r="C546" t="s">
        <v>397</v>
      </c>
      <c r="D546" s="6">
        <v>42491</v>
      </c>
      <c r="E546" t="s">
        <v>148</v>
      </c>
      <c r="F546" t="s">
        <v>137</v>
      </c>
      <c r="G546" t="s">
        <v>45</v>
      </c>
      <c r="H546" t="s">
        <v>117</v>
      </c>
      <c r="I546" t="s">
        <v>117</v>
      </c>
      <c r="J546" t="s">
        <v>20</v>
      </c>
      <c r="K546" t="s">
        <v>21</v>
      </c>
      <c r="L546" t="s">
        <v>45</v>
      </c>
      <c r="M546">
        <v>23</v>
      </c>
      <c r="N546">
        <v>0</v>
      </c>
      <c r="O546" t="s">
        <v>155</v>
      </c>
      <c r="P546" t="s">
        <v>127</v>
      </c>
    </row>
    <row r="547" spans="1:16" x14ac:dyDescent="0.3">
      <c r="A547">
        <v>605</v>
      </c>
      <c r="B547" t="s">
        <v>42</v>
      </c>
      <c r="C547" t="s">
        <v>397</v>
      </c>
      <c r="D547" s="6">
        <v>42491</v>
      </c>
      <c r="E547" t="s">
        <v>83</v>
      </c>
      <c r="F547" t="s">
        <v>44</v>
      </c>
      <c r="G547" t="s">
        <v>103</v>
      </c>
      <c r="H547" t="s">
        <v>39</v>
      </c>
      <c r="I547" t="s">
        <v>39</v>
      </c>
      <c r="J547" t="s">
        <v>20</v>
      </c>
      <c r="K547" t="s">
        <v>21</v>
      </c>
      <c r="L547" t="s">
        <v>39</v>
      </c>
      <c r="M547">
        <v>0</v>
      </c>
      <c r="N547">
        <v>8</v>
      </c>
      <c r="O547" t="s">
        <v>111</v>
      </c>
      <c r="P547" t="s">
        <v>170</v>
      </c>
    </row>
    <row r="548" spans="1:16" x14ac:dyDescent="0.3">
      <c r="A548">
        <v>606</v>
      </c>
      <c r="B548" t="s">
        <v>105</v>
      </c>
      <c r="C548" t="s">
        <v>397</v>
      </c>
      <c r="D548" s="6">
        <v>42492</v>
      </c>
      <c r="E548" t="s">
        <v>30</v>
      </c>
      <c r="F548" t="s">
        <v>60</v>
      </c>
      <c r="G548" t="s">
        <v>50</v>
      </c>
      <c r="H548" t="s">
        <v>27</v>
      </c>
      <c r="I548" t="s">
        <v>27</v>
      </c>
      <c r="J548" t="s">
        <v>20</v>
      </c>
      <c r="K548" t="s">
        <v>21</v>
      </c>
      <c r="L548" t="s">
        <v>27</v>
      </c>
      <c r="M548">
        <v>0</v>
      </c>
      <c r="N548">
        <v>5</v>
      </c>
      <c r="O548" t="s">
        <v>125</v>
      </c>
      <c r="P548" t="s">
        <v>23</v>
      </c>
    </row>
    <row r="549" spans="1:16" x14ac:dyDescent="0.3">
      <c r="A549">
        <v>607</v>
      </c>
      <c r="B549" t="s">
        <v>136</v>
      </c>
      <c r="C549" t="s">
        <v>397</v>
      </c>
      <c r="D549" s="6">
        <v>42493</v>
      </c>
      <c r="E549" t="s">
        <v>79</v>
      </c>
      <c r="F549" t="s">
        <v>137</v>
      </c>
      <c r="G549" t="s">
        <v>117</v>
      </c>
      <c r="H549" t="s">
        <v>38</v>
      </c>
      <c r="I549" t="s">
        <v>38</v>
      </c>
      <c r="J549" t="s">
        <v>20</v>
      </c>
      <c r="K549" t="s">
        <v>21</v>
      </c>
      <c r="L549" t="s">
        <v>38</v>
      </c>
      <c r="M549">
        <v>0</v>
      </c>
      <c r="N549">
        <v>8</v>
      </c>
      <c r="O549" t="s">
        <v>130</v>
      </c>
      <c r="P549" t="s">
        <v>155</v>
      </c>
    </row>
    <row r="550" spans="1:16" x14ac:dyDescent="0.3">
      <c r="A550">
        <v>608</v>
      </c>
      <c r="B550" t="s">
        <v>24</v>
      </c>
      <c r="C550" t="s">
        <v>397</v>
      </c>
      <c r="D550" s="6">
        <v>42494</v>
      </c>
      <c r="E550" t="s">
        <v>30</v>
      </c>
      <c r="F550" t="s">
        <v>26</v>
      </c>
      <c r="G550" t="s">
        <v>27</v>
      </c>
      <c r="H550" t="s">
        <v>45</v>
      </c>
      <c r="I550" t="s">
        <v>45</v>
      </c>
      <c r="J550" t="s">
        <v>20</v>
      </c>
      <c r="K550" t="s">
        <v>21</v>
      </c>
      <c r="L550" t="s">
        <v>27</v>
      </c>
      <c r="M550">
        <v>7</v>
      </c>
      <c r="N550">
        <v>0</v>
      </c>
      <c r="O550" t="s">
        <v>108</v>
      </c>
      <c r="P550" t="s">
        <v>154</v>
      </c>
    </row>
    <row r="551" spans="1:16" x14ac:dyDescent="0.3">
      <c r="A551">
        <v>609</v>
      </c>
      <c r="B551" t="s">
        <v>35</v>
      </c>
      <c r="C551" t="s">
        <v>397</v>
      </c>
      <c r="D551" s="6">
        <v>42495</v>
      </c>
      <c r="E551" t="s">
        <v>171</v>
      </c>
      <c r="F551" t="s">
        <v>37</v>
      </c>
      <c r="G551" t="s">
        <v>38</v>
      </c>
      <c r="H551" t="s">
        <v>103</v>
      </c>
      <c r="I551" t="s">
        <v>103</v>
      </c>
      <c r="J551" t="s">
        <v>20</v>
      </c>
      <c r="K551" t="s">
        <v>21</v>
      </c>
      <c r="L551" t="s">
        <v>103</v>
      </c>
      <c r="M551">
        <v>0</v>
      </c>
      <c r="N551">
        <v>7</v>
      </c>
      <c r="O551" t="s">
        <v>34</v>
      </c>
      <c r="P551" t="s">
        <v>170</v>
      </c>
    </row>
    <row r="552" spans="1:16" x14ac:dyDescent="0.3">
      <c r="A552">
        <v>610</v>
      </c>
      <c r="B552" t="s">
        <v>53</v>
      </c>
      <c r="C552" t="s">
        <v>397</v>
      </c>
      <c r="D552" s="6">
        <v>42496</v>
      </c>
      <c r="E552" t="s">
        <v>145</v>
      </c>
      <c r="F552" t="s">
        <v>55</v>
      </c>
      <c r="G552" t="s">
        <v>117</v>
      </c>
      <c r="H552" t="s">
        <v>18</v>
      </c>
      <c r="I552" t="s">
        <v>18</v>
      </c>
      <c r="J552" t="s">
        <v>20</v>
      </c>
      <c r="K552" t="s">
        <v>21</v>
      </c>
      <c r="L552" t="s">
        <v>18</v>
      </c>
      <c r="M552">
        <v>0</v>
      </c>
      <c r="N552">
        <v>5</v>
      </c>
      <c r="O552" t="s">
        <v>125</v>
      </c>
      <c r="P552" t="s">
        <v>23</v>
      </c>
    </row>
    <row r="553" spans="1:16" x14ac:dyDescent="0.3">
      <c r="A553">
        <v>611</v>
      </c>
      <c r="B553" t="s">
        <v>105</v>
      </c>
      <c r="C553" t="s">
        <v>397</v>
      </c>
      <c r="D553" s="6">
        <v>42497</v>
      </c>
      <c r="E553" t="s">
        <v>159</v>
      </c>
      <c r="F553" t="s">
        <v>60</v>
      </c>
      <c r="G553" t="s">
        <v>103</v>
      </c>
      <c r="H553" t="s">
        <v>50</v>
      </c>
      <c r="I553" t="s">
        <v>50</v>
      </c>
      <c r="J553" t="s">
        <v>20</v>
      </c>
      <c r="K553" t="s">
        <v>21</v>
      </c>
      <c r="L553" t="s">
        <v>50</v>
      </c>
      <c r="M553">
        <v>0</v>
      </c>
      <c r="N553">
        <v>7</v>
      </c>
      <c r="O553" t="s">
        <v>130</v>
      </c>
      <c r="P553" t="s">
        <v>155</v>
      </c>
    </row>
    <row r="554" spans="1:16" x14ac:dyDescent="0.3">
      <c r="A554">
        <v>612</v>
      </c>
      <c r="B554" t="s">
        <v>123</v>
      </c>
      <c r="C554" t="s">
        <v>397</v>
      </c>
      <c r="D554" s="6">
        <v>42497</v>
      </c>
      <c r="E554" t="s">
        <v>164</v>
      </c>
      <c r="F554" t="s">
        <v>93</v>
      </c>
      <c r="G554" t="s">
        <v>45</v>
      </c>
      <c r="H554" t="s">
        <v>38</v>
      </c>
      <c r="I554" t="s">
        <v>38</v>
      </c>
      <c r="J554" t="s">
        <v>20</v>
      </c>
      <c r="K554" t="s">
        <v>21</v>
      </c>
      <c r="L554" t="s">
        <v>45</v>
      </c>
      <c r="M554">
        <v>9</v>
      </c>
      <c r="N554">
        <v>0</v>
      </c>
      <c r="O554" t="s">
        <v>154</v>
      </c>
      <c r="P554" t="s">
        <v>113</v>
      </c>
    </row>
    <row r="555" spans="1:16" x14ac:dyDescent="0.3">
      <c r="A555">
        <v>613</v>
      </c>
      <c r="B555" t="s">
        <v>161</v>
      </c>
      <c r="C555" t="s">
        <v>397</v>
      </c>
      <c r="D555" s="6">
        <v>42498</v>
      </c>
      <c r="E555" t="s">
        <v>168</v>
      </c>
      <c r="F555" t="s">
        <v>162</v>
      </c>
      <c r="G555" t="s">
        <v>18</v>
      </c>
      <c r="H555" t="s">
        <v>39</v>
      </c>
      <c r="I555" t="s">
        <v>39</v>
      </c>
      <c r="J555" t="s">
        <v>20</v>
      </c>
      <c r="K555" t="s">
        <v>21</v>
      </c>
      <c r="L555" t="s">
        <v>18</v>
      </c>
      <c r="M555">
        <v>85</v>
      </c>
      <c r="N555">
        <v>0</v>
      </c>
      <c r="O555" t="s">
        <v>23</v>
      </c>
      <c r="P555" t="s">
        <v>34</v>
      </c>
    </row>
    <row r="556" spans="1:16" x14ac:dyDescent="0.3">
      <c r="A556">
        <v>614</v>
      </c>
      <c r="B556" t="s">
        <v>24</v>
      </c>
      <c r="C556" t="s">
        <v>397</v>
      </c>
      <c r="D556" s="6">
        <v>42498</v>
      </c>
      <c r="E556" t="s">
        <v>169</v>
      </c>
      <c r="F556" t="s">
        <v>26</v>
      </c>
      <c r="G556" t="s">
        <v>27</v>
      </c>
      <c r="H556" t="s">
        <v>117</v>
      </c>
      <c r="I556" t="s">
        <v>117</v>
      </c>
      <c r="J556" t="s">
        <v>20</v>
      </c>
      <c r="K556" t="s">
        <v>21</v>
      </c>
      <c r="L556" t="s">
        <v>117</v>
      </c>
      <c r="M556">
        <v>0</v>
      </c>
      <c r="N556">
        <v>5</v>
      </c>
      <c r="O556" t="s">
        <v>125</v>
      </c>
      <c r="P556" t="s">
        <v>170</v>
      </c>
    </row>
    <row r="557" spans="1:16" x14ac:dyDescent="0.3">
      <c r="A557">
        <v>615</v>
      </c>
      <c r="B557" t="s">
        <v>123</v>
      </c>
      <c r="C557" t="s">
        <v>397</v>
      </c>
      <c r="D557" s="6">
        <v>42499</v>
      </c>
      <c r="E557" t="s">
        <v>16</v>
      </c>
      <c r="F557" t="s">
        <v>93</v>
      </c>
      <c r="G557" t="s">
        <v>50</v>
      </c>
      <c r="H557" t="s">
        <v>45</v>
      </c>
      <c r="I557" t="s">
        <v>45</v>
      </c>
      <c r="J557" t="s">
        <v>20</v>
      </c>
      <c r="K557" t="s">
        <v>21</v>
      </c>
      <c r="L557" t="s">
        <v>50</v>
      </c>
      <c r="M557">
        <v>1</v>
      </c>
      <c r="N557">
        <v>0</v>
      </c>
      <c r="O557" t="s">
        <v>108</v>
      </c>
      <c r="P557" t="s">
        <v>154</v>
      </c>
    </row>
    <row r="558" spans="1:16" x14ac:dyDescent="0.3">
      <c r="A558">
        <v>616</v>
      </c>
      <c r="B558" t="s">
        <v>161</v>
      </c>
      <c r="C558" t="s">
        <v>397</v>
      </c>
      <c r="D558" s="6">
        <v>42500</v>
      </c>
      <c r="E558" t="s">
        <v>167</v>
      </c>
      <c r="F558" t="s">
        <v>162</v>
      </c>
      <c r="G558" t="s">
        <v>18</v>
      </c>
      <c r="H558" t="s">
        <v>103</v>
      </c>
      <c r="I558" t="s">
        <v>18</v>
      </c>
      <c r="J558" t="s">
        <v>40</v>
      </c>
      <c r="K558" t="s">
        <v>21</v>
      </c>
      <c r="L558" t="s">
        <v>18</v>
      </c>
      <c r="M558">
        <v>4</v>
      </c>
      <c r="N558">
        <v>0</v>
      </c>
      <c r="O558" t="s">
        <v>130</v>
      </c>
      <c r="P558" t="s">
        <v>127</v>
      </c>
    </row>
    <row r="559" spans="1:16" x14ac:dyDescent="0.3">
      <c r="A559">
        <v>617</v>
      </c>
      <c r="B559" t="s">
        <v>105</v>
      </c>
      <c r="C559" t="s">
        <v>397</v>
      </c>
      <c r="D559" s="6">
        <v>42501</v>
      </c>
      <c r="E559" t="s">
        <v>102</v>
      </c>
      <c r="F559" t="s">
        <v>60</v>
      </c>
      <c r="G559" t="s">
        <v>50</v>
      </c>
      <c r="H559" t="s">
        <v>39</v>
      </c>
      <c r="I559" t="s">
        <v>39</v>
      </c>
      <c r="J559" t="s">
        <v>20</v>
      </c>
      <c r="K559" t="s">
        <v>21</v>
      </c>
      <c r="L559" t="s">
        <v>39</v>
      </c>
      <c r="M559">
        <v>0</v>
      </c>
      <c r="N559">
        <v>6</v>
      </c>
      <c r="O559" t="s">
        <v>111</v>
      </c>
      <c r="P559" t="s">
        <v>34</v>
      </c>
    </row>
    <row r="560" spans="1:16" x14ac:dyDescent="0.3">
      <c r="A560">
        <v>618</v>
      </c>
      <c r="B560" t="s">
        <v>53</v>
      </c>
      <c r="C560" t="s">
        <v>397</v>
      </c>
      <c r="D560" s="6">
        <v>42502</v>
      </c>
      <c r="E560" t="s">
        <v>165</v>
      </c>
      <c r="F560" t="s">
        <v>55</v>
      </c>
      <c r="G560" t="s">
        <v>18</v>
      </c>
      <c r="H560" t="s">
        <v>38</v>
      </c>
      <c r="I560" t="s">
        <v>38</v>
      </c>
      <c r="J560" t="s">
        <v>20</v>
      </c>
      <c r="K560" t="s">
        <v>21</v>
      </c>
      <c r="L560" t="s">
        <v>38</v>
      </c>
      <c r="M560">
        <v>0</v>
      </c>
      <c r="N560">
        <v>7</v>
      </c>
      <c r="O560" t="s">
        <v>166</v>
      </c>
      <c r="P560" t="s">
        <v>125</v>
      </c>
    </row>
    <row r="561" spans="1:16" x14ac:dyDescent="0.3">
      <c r="A561">
        <v>619</v>
      </c>
      <c r="B561" t="s">
        <v>161</v>
      </c>
      <c r="C561" t="s">
        <v>397</v>
      </c>
      <c r="D561" s="6">
        <v>42503</v>
      </c>
      <c r="E561" t="s">
        <v>164</v>
      </c>
      <c r="F561" t="s">
        <v>162</v>
      </c>
      <c r="G561" t="s">
        <v>39</v>
      </c>
      <c r="H561" t="s">
        <v>45</v>
      </c>
      <c r="I561" t="s">
        <v>39</v>
      </c>
      <c r="J561" t="s">
        <v>40</v>
      </c>
      <c r="K561" t="s">
        <v>21</v>
      </c>
      <c r="L561" t="s">
        <v>45</v>
      </c>
      <c r="M561">
        <v>0</v>
      </c>
      <c r="N561">
        <v>7</v>
      </c>
      <c r="O561" t="s">
        <v>154</v>
      </c>
      <c r="P561" t="s">
        <v>113</v>
      </c>
    </row>
    <row r="562" spans="1:16" x14ac:dyDescent="0.3">
      <c r="A562">
        <v>620</v>
      </c>
      <c r="B562" t="s">
        <v>105</v>
      </c>
      <c r="C562" t="s">
        <v>397</v>
      </c>
      <c r="D562" s="6">
        <v>42504</v>
      </c>
      <c r="E562" t="s">
        <v>59</v>
      </c>
      <c r="F562" t="s">
        <v>60</v>
      </c>
      <c r="G562" t="s">
        <v>50</v>
      </c>
      <c r="H562" t="s">
        <v>117</v>
      </c>
      <c r="I562" t="s">
        <v>117</v>
      </c>
      <c r="J562" t="s">
        <v>20</v>
      </c>
      <c r="K562" t="s">
        <v>21</v>
      </c>
      <c r="L562" t="s">
        <v>50</v>
      </c>
      <c r="M562">
        <v>144</v>
      </c>
      <c r="N562">
        <v>0</v>
      </c>
      <c r="O562" t="s">
        <v>111</v>
      </c>
      <c r="P562" t="s">
        <v>127</v>
      </c>
    </row>
    <row r="563" spans="1:16" x14ac:dyDescent="0.3">
      <c r="A563">
        <v>621</v>
      </c>
      <c r="B563" t="s">
        <v>24</v>
      </c>
      <c r="C563" t="s">
        <v>397</v>
      </c>
      <c r="D563" s="6">
        <v>42504</v>
      </c>
      <c r="E563" t="s">
        <v>157</v>
      </c>
      <c r="F563" t="s">
        <v>26</v>
      </c>
      <c r="G563" t="s">
        <v>103</v>
      </c>
      <c r="H563" t="s">
        <v>27</v>
      </c>
      <c r="I563" t="s">
        <v>103</v>
      </c>
      <c r="J563" t="s">
        <v>40</v>
      </c>
      <c r="K563" t="s">
        <v>21</v>
      </c>
      <c r="L563" t="s">
        <v>27</v>
      </c>
      <c r="M563">
        <v>0</v>
      </c>
      <c r="N563">
        <v>8</v>
      </c>
      <c r="O563" t="s">
        <v>118</v>
      </c>
      <c r="P563" t="s">
        <v>155</v>
      </c>
    </row>
    <row r="564" spans="1:16" x14ac:dyDescent="0.3">
      <c r="A564">
        <v>622</v>
      </c>
      <c r="B564" t="s">
        <v>123</v>
      </c>
      <c r="C564" t="s">
        <v>397</v>
      </c>
      <c r="D564" s="6">
        <v>42505</v>
      </c>
      <c r="E564" t="s">
        <v>142</v>
      </c>
      <c r="F564" t="s">
        <v>93</v>
      </c>
      <c r="G564" t="s">
        <v>45</v>
      </c>
      <c r="H564" t="s">
        <v>18</v>
      </c>
      <c r="I564" t="s">
        <v>45</v>
      </c>
      <c r="J564" t="s">
        <v>40</v>
      </c>
      <c r="K564" t="s">
        <v>21</v>
      </c>
      <c r="L564" t="s">
        <v>18</v>
      </c>
      <c r="M564">
        <v>0</v>
      </c>
      <c r="N564">
        <v>7</v>
      </c>
      <c r="O564" t="s">
        <v>120</v>
      </c>
      <c r="P564" t="s">
        <v>125</v>
      </c>
    </row>
    <row r="565" spans="1:16" x14ac:dyDescent="0.3">
      <c r="A565">
        <v>623</v>
      </c>
      <c r="B565" t="s">
        <v>161</v>
      </c>
      <c r="C565" t="s">
        <v>397</v>
      </c>
      <c r="D565" s="6">
        <v>42505</v>
      </c>
      <c r="E565" t="s">
        <v>102</v>
      </c>
      <c r="F565" t="s">
        <v>162</v>
      </c>
      <c r="G565" t="s">
        <v>39</v>
      </c>
      <c r="H565" t="s">
        <v>38</v>
      </c>
      <c r="I565" t="s">
        <v>38</v>
      </c>
      <c r="J565" t="s">
        <v>20</v>
      </c>
      <c r="K565" t="s">
        <v>21</v>
      </c>
      <c r="L565" t="s">
        <v>39</v>
      </c>
      <c r="M565">
        <v>80</v>
      </c>
      <c r="N565">
        <v>0</v>
      </c>
      <c r="O565" t="s">
        <v>28</v>
      </c>
      <c r="P565" t="s">
        <v>113</v>
      </c>
    </row>
    <row r="566" spans="1:16" x14ac:dyDescent="0.3">
      <c r="A566">
        <v>624</v>
      </c>
      <c r="B566" t="s">
        <v>24</v>
      </c>
      <c r="C566" t="s">
        <v>397</v>
      </c>
      <c r="D566" s="6">
        <v>42506</v>
      </c>
      <c r="E566" t="s">
        <v>159</v>
      </c>
      <c r="F566" t="s">
        <v>26</v>
      </c>
      <c r="G566" t="s">
        <v>27</v>
      </c>
      <c r="H566" t="s">
        <v>50</v>
      </c>
      <c r="I566" t="s">
        <v>50</v>
      </c>
      <c r="J566" t="s">
        <v>20</v>
      </c>
      <c r="K566" t="s">
        <v>21</v>
      </c>
      <c r="L566" t="s">
        <v>50</v>
      </c>
      <c r="M566">
        <v>0</v>
      </c>
      <c r="N566">
        <v>9</v>
      </c>
      <c r="O566" t="s">
        <v>130</v>
      </c>
      <c r="P566" t="s">
        <v>118</v>
      </c>
    </row>
    <row r="567" spans="1:16" x14ac:dyDescent="0.3">
      <c r="A567">
        <v>625</v>
      </c>
      <c r="B567" t="s">
        <v>161</v>
      </c>
      <c r="C567" t="s">
        <v>397</v>
      </c>
      <c r="D567" s="6">
        <v>42507</v>
      </c>
      <c r="E567" t="s">
        <v>163</v>
      </c>
      <c r="F567" t="s">
        <v>162</v>
      </c>
      <c r="G567" t="s">
        <v>38</v>
      </c>
      <c r="H567" t="s">
        <v>103</v>
      </c>
      <c r="I567" t="s">
        <v>103</v>
      </c>
      <c r="J567" t="s">
        <v>20</v>
      </c>
      <c r="K567" t="s">
        <v>21</v>
      </c>
      <c r="L567" t="s">
        <v>103</v>
      </c>
      <c r="M567">
        <v>19</v>
      </c>
      <c r="N567">
        <v>0</v>
      </c>
      <c r="O567" t="s">
        <v>28</v>
      </c>
      <c r="P567" t="s">
        <v>34</v>
      </c>
    </row>
    <row r="568" spans="1:16" x14ac:dyDescent="0.3">
      <c r="A568">
        <v>626</v>
      </c>
      <c r="B568" t="s">
        <v>105</v>
      </c>
      <c r="C568" t="s">
        <v>397</v>
      </c>
      <c r="D568" s="6">
        <v>42508</v>
      </c>
      <c r="E568" t="s">
        <v>159</v>
      </c>
      <c r="F568" t="s">
        <v>60</v>
      </c>
      <c r="G568" t="s">
        <v>50</v>
      </c>
      <c r="H568" t="s">
        <v>45</v>
      </c>
      <c r="I568" t="s">
        <v>45</v>
      </c>
      <c r="J568" t="s">
        <v>20</v>
      </c>
      <c r="K568" t="s">
        <v>21</v>
      </c>
      <c r="L568" t="s">
        <v>50</v>
      </c>
      <c r="M568">
        <v>82</v>
      </c>
      <c r="N568">
        <v>0</v>
      </c>
      <c r="O568" t="s">
        <v>120</v>
      </c>
      <c r="P568" t="s">
        <v>125</v>
      </c>
    </row>
    <row r="569" spans="1:16" x14ac:dyDescent="0.3">
      <c r="A569">
        <v>627</v>
      </c>
      <c r="B569" t="s">
        <v>114</v>
      </c>
      <c r="C569" t="s">
        <v>397</v>
      </c>
      <c r="D569" s="6">
        <v>42509</v>
      </c>
      <c r="E569" t="s">
        <v>126</v>
      </c>
      <c r="F569" t="s">
        <v>116</v>
      </c>
      <c r="G569" t="s">
        <v>27</v>
      </c>
      <c r="H569" t="s">
        <v>117</v>
      </c>
      <c r="I569" t="s">
        <v>117</v>
      </c>
      <c r="J569" t="s">
        <v>20</v>
      </c>
      <c r="K569" t="s">
        <v>21</v>
      </c>
      <c r="L569" t="s">
        <v>117</v>
      </c>
      <c r="M569">
        <v>0</v>
      </c>
      <c r="N569">
        <v>6</v>
      </c>
      <c r="O569" t="s">
        <v>108</v>
      </c>
      <c r="P569" t="s">
        <v>113</v>
      </c>
    </row>
    <row r="570" spans="1:16" x14ac:dyDescent="0.3">
      <c r="A570">
        <v>628</v>
      </c>
      <c r="B570" t="s">
        <v>158</v>
      </c>
      <c r="C570" t="s">
        <v>397</v>
      </c>
      <c r="D570" s="6">
        <v>42510</v>
      </c>
      <c r="E570" t="s">
        <v>119</v>
      </c>
      <c r="F570" t="s">
        <v>160</v>
      </c>
      <c r="G570" t="s">
        <v>18</v>
      </c>
      <c r="H570" t="s">
        <v>38</v>
      </c>
      <c r="I570" t="s">
        <v>38</v>
      </c>
      <c r="J570" t="s">
        <v>20</v>
      </c>
      <c r="K570" t="s">
        <v>21</v>
      </c>
      <c r="L570" t="s">
        <v>38</v>
      </c>
      <c r="M570">
        <v>0</v>
      </c>
      <c r="N570">
        <v>6</v>
      </c>
      <c r="O570" t="s">
        <v>118</v>
      </c>
      <c r="P570" t="s">
        <v>155</v>
      </c>
    </row>
    <row r="571" spans="1:16" x14ac:dyDescent="0.3">
      <c r="A571">
        <v>629</v>
      </c>
      <c r="B571" t="s">
        <v>161</v>
      </c>
      <c r="C571" t="s">
        <v>397</v>
      </c>
      <c r="D571" s="6">
        <v>42511</v>
      </c>
      <c r="E571" t="s">
        <v>87</v>
      </c>
      <c r="F571" t="s">
        <v>162</v>
      </c>
      <c r="G571" t="s">
        <v>45</v>
      </c>
      <c r="H571" t="s">
        <v>103</v>
      </c>
      <c r="I571" t="s">
        <v>45</v>
      </c>
      <c r="J571" t="s">
        <v>40</v>
      </c>
      <c r="K571" t="s">
        <v>21</v>
      </c>
      <c r="L571" t="s">
        <v>103</v>
      </c>
      <c r="M571">
        <v>0</v>
      </c>
      <c r="N571">
        <v>4</v>
      </c>
      <c r="O571" t="s">
        <v>154</v>
      </c>
      <c r="P571" t="s">
        <v>28</v>
      </c>
    </row>
    <row r="572" spans="1:16" x14ac:dyDescent="0.3">
      <c r="A572">
        <v>630</v>
      </c>
      <c r="B572" t="s">
        <v>114</v>
      </c>
      <c r="C572" t="s">
        <v>397</v>
      </c>
      <c r="D572" s="6">
        <v>42511</v>
      </c>
      <c r="E572" t="s">
        <v>144</v>
      </c>
      <c r="F572" t="s">
        <v>116</v>
      </c>
      <c r="G572" t="s">
        <v>39</v>
      </c>
      <c r="H572" t="s">
        <v>117</v>
      </c>
      <c r="I572" t="s">
        <v>117</v>
      </c>
      <c r="J572" t="s">
        <v>20</v>
      </c>
      <c r="K572" t="s">
        <v>21</v>
      </c>
      <c r="L572" t="s">
        <v>117</v>
      </c>
      <c r="M572">
        <v>0</v>
      </c>
      <c r="N572">
        <v>6</v>
      </c>
      <c r="O572" t="s">
        <v>108</v>
      </c>
      <c r="P572" t="s">
        <v>113</v>
      </c>
    </row>
    <row r="573" spans="1:16" x14ac:dyDescent="0.3">
      <c r="A573">
        <v>631</v>
      </c>
      <c r="B573" t="s">
        <v>24</v>
      </c>
      <c r="C573" t="s">
        <v>397</v>
      </c>
      <c r="D573" s="6">
        <v>42512</v>
      </c>
      <c r="E573" t="s">
        <v>157</v>
      </c>
      <c r="F573" t="s">
        <v>26</v>
      </c>
      <c r="G573" t="s">
        <v>27</v>
      </c>
      <c r="H573" t="s">
        <v>18</v>
      </c>
      <c r="I573" t="s">
        <v>18</v>
      </c>
      <c r="J573" t="s">
        <v>20</v>
      </c>
      <c r="K573" t="s">
        <v>21</v>
      </c>
      <c r="L573" t="s">
        <v>27</v>
      </c>
      <c r="M573">
        <v>22</v>
      </c>
      <c r="N573">
        <v>0</v>
      </c>
      <c r="O573" t="s">
        <v>120</v>
      </c>
      <c r="P573" t="s">
        <v>125</v>
      </c>
    </row>
    <row r="574" spans="1:16" x14ac:dyDescent="0.3">
      <c r="A574">
        <v>632</v>
      </c>
      <c r="B574" t="s">
        <v>158</v>
      </c>
      <c r="C574" t="s">
        <v>397</v>
      </c>
      <c r="D574" s="6">
        <v>42512</v>
      </c>
      <c r="E574" t="s">
        <v>159</v>
      </c>
      <c r="F574" t="s">
        <v>160</v>
      </c>
      <c r="G574" t="s">
        <v>38</v>
      </c>
      <c r="H574" t="s">
        <v>50</v>
      </c>
      <c r="I574" t="s">
        <v>50</v>
      </c>
      <c r="J574" t="s">
        <v>20</v>
      </c>
      <c r="K574" t="s">
        <v>21</v>
      </c>
      <c r="L574" t="s">
        <v>50</v>
      </c>
      <c r="M574">
        <v>0</v>
      </c>
      <c r="N574">
        <v>6</v>
      </c>
      <c r="O574" t="s">
        <v>118</v>
      </c>
      <c r="P574" t="s">
        <v>155</v>
      </c>
    </row>
    <row r="575" spans="1:16" x14ac:dyDescent="0.3">
      <c r="A575">
        <v>633</v>
      </c>
      <c r="B575" t="s">
        <v>105</v>
      </c>
      <c r="C575" t="s">
        <v>397</v>
      </c>
      <c r="D575" s="6">
        <v>42514</v>
      </c>
      <c r="E575" t="s">
        <v>59</v>
      </c>
      <c r="F575" t="s">
        <v>60</v>
      </c>
      <c r="G575" t="s">
        <v>117</v>
      </c>
      <c r="H575" t="s">
        <v>50</v>
      </c>
      <c r="I575" t="s">
        <v>50</v>
      </c>
      <c r="J575" t="s">
        <v>20</v>
      </c>
      <c r="K575" t="s">
        <v>21</v>
      </c>
      <c r="L575" t="s">
        <v>50</v>
      </c>
      <c r="M575">
        <v>0</v>
      </c>
      <c r="N575">
        <v>4</v>
      </c>
      <c r="O575" t="s">
        <v>108</v>
      </c>
      <c r="P575" t="s">
        <v>154</v>
      </c>
    </row>
    <row r="576" spans="1:16" x14ac:dyDescent="0.3">
      <c r="A576">
        <v>634</v>
      </c>
      <c r="B576" t="s">
        <v>35</v>
      </c>
      <c r="C576" t="s">
        <v>397</v>
      </c>
      <c r="D576" s="6">
        <v>42515</v>
      </c>
      <c r="E576" t="s">
        <v>156</v>
      </c>
      <c r="F576" t="s">
        <v>37</v>
      </c>
      <c r="G576" t="s">
        <v>18</v>
      </c>
      <c r="H576" t="s">
        <v>27</v>
      </c>
      <c r="I576" t="s">
        <v>27</v>
      </c>
      <c r="J576" t="s">
        <v>20</v>
      </c>
      <c r="K576" t="s">
        <v>21</v>
      </c>
      <c r="L576" t="s">
        <v>18</v>
      </c>
      <c r="M576">
        <v>22</v>
      </c>
      <c r="N576">
        <v>0</v>
      </c>
      <c r="O576" t="s">
        <v>125</v>
      </c>
      <c r="P576" t="s">
        <v>34</v>
      </c>
    </row>
    <row r="577" spans="1:16" x14ac:dyDescent="0.3">
      <c r="A577">
        <v>635</v>
      </c>
      <c r="B577" t="s">
        <v>35</v>
      </c>
      <c r="C577" t="s">
        <v>397</v>
      </c>
      <c r="D577" s="6">
        <v>42517</v>
      </c>
      <c r="E577" t="s">
        <v>134</v>
      </c>
      <c r="F577" t="s">
        <v>37</v>
      </c>
      <c r="G577" t="s">
        <v>117</v>
      </c>
      <c r="H577" t="s">
        <v>18</v>
      </c>
      <c r="I577" t="s">
        <v>18</v>
      </c>
      <c r="J577" t="s">
        <v>20</v>
      </c>
      <c r="K577" t="s">
        <v>21</v>
      </c>
      <c r="L577" t="s">
        <v>18</v>
      </c>
      <c r="M577">
        <v>0</v>
      </c>
      <c r="N577">
        <v>4</v>
      </c>
      <c r="O577" t="s">
        <v>125</v>
      </c>
      <c r="P577" t="s">
        <v>113</v>
      </c>
    </row>
    <row r="578" spans="1:16" x14ac:dyDescent="0.3">
      <c r="A578">
        <v>636</v>
      </c>
      <c r="B578" t="s">
        <v>105</v>
      </c>
      <c r="C578" t="s">
        <v>397</v>
      </c>
      <c r="D578" s="6">
        <v>42519</v>
      </c>
      <c r="E578" t="s">
        <v>153</v>
      </c>
      <c r="F578" t="s">
        <v>60</v>
      </c>
      <c r="G578" t="s">
        <v>18</v>
      </c>
      <c r="H578" t="s">
        <v>50</v>
      </c>
      <c r="I578" t="s">
        <v>18</v>
      </c>
      <c r="J578" t="s">
        <v>40</v>
      </c>
      <c r="K578" t="s">
        <v>21</v>
      </c>
      <c r="L578" t="s">
        <v>18</v>
      </c>
      <c r="M578">
        <v>8</v>
      </c>
      <c r="N578">
        <v>0</v>
      </c>
      <c r="O578" t="s">
        <v>154</v>
      </c>
      <c r="P578" t="s">
        <v>155</v>
      </c>
    </row>
    <row r="579" spans="1:16" x14ac:dyDescent="0.3">
      <c r="A579">
        <v>1</v>
      </c>
      <c r="B579" t="s">
        <v>53</v>
      </c>
      <c r="C579" t="s">
        <v>393</v>
      </c>
      <c r="D579" s="6">
        <v>42830</v>
      </c>
      <c r="E579" t="s">
        <v>152</v>
      </c>
      <c r="F579" t="s">
        <v>55</v>
      </c>
      <c r="G579" t="s">
        <v>18</v>
      </c>
      <c r="H579" t="s">
        <v>50</v>
      </c>
      <c r="I579" t="s">
        <v>50</v>
      </c>
      <c r="J579" t="s">
        <v>20</v>
      </c>
      <c r="K579" t="s">
        <v>21</v>
      </c>
      <c r="L579" t="s">
        <v>18</v>
      </c>
      <c r="M579">
        <v>35</v>
      </c>
      <c r="N579">
        <v>0</v>
      </c>
      <c r="O579" t="s">
        <v>111</v>
      </c>
      <c r="P579" t="s">
        <v>104</v>
      </c>
    </row>
    <row r="580" spans="1:16" x14ac:dyDescent="0.3">
      <c r="A580">
        <v>2</v>
      </c>
      <c r="B580" t="s">
        <v>42</v>
      </c>
      <c r="C580" t="s">
        <v>393</v>
      </c>
      <c r="D580" s="6">
        <v>42831</v>
      </c>
      <c r="E580" t="s">
        <v>151</v>
      </c>
      <c r="F580" t="s">
        <v>44</v>
      </c>
      <c r="G580" t="s">
        <v>39</v>
      </c>
      <c r="H580" t="s">
        <v>103</v>
      </c>
      <c r="I580" t="s">
        <v>103</v>
      </c>
      <c r="J580" t="s">
        <v>20</v>
      </c>
      <c r="K580" t="s">
        <v>21</v>
      </c>
      <c r="L580" t="s">
        <v>103</v>
      </c>
      <c r="M580">
        <v>0</v>
      </c>
      <c r="N580">
        <v>7</v>
      </c>
      <c r="O580" t="s">
        <v>118</v>
      </c>
      <c r="P580" t="s">
        <v>23</v>
      </c>
    </row>
    <row r="581" spans="1:16" x14ac:dyDescent="0.3">
      <c r="A581">
        <v>3</v>
      </c>
      <c r="B581" t="s">
        <v>136</v>
      </c>
      <c r="C581" t="s">
        <v>393</v>
      </c>
      <c r="D581" s="6">
        <v>42832</v>
      </c>
      <c r="E581" t="s">
        <v>54</v>
      </c>
      <c r="F581" t="s">
        <v>137</v>
      </c>
      <c r="G581" t="s">
        <v>117</v>
      </c>
      <c r="H581" t="s">
        <v>27</v>
      </c>
      <c r="I581" t="s">
        <v>27</v>
      </c>
      <c r="J581" t="s">
        <v>20</v>
      </c>
      <c r="K581" t="s">
        <v>21</v>
      </c>
      <c r="L581" t="s">
        <v>27</v>
      </c>
      <c r="M581">
        <v>0</v>
      </c>
      <c r="N581">
        <v>10</v>
      </c>
      <c r="O581" t="s">
        <v>28</v>
      </c>
      <c r="P581" t="s">
        <v>113</v>
      </c>
    </row>
    <row r="582" spans="1:16" x14ac:dyDescent="0.3">
      <c r="A582">
        <v>4</v>
      </c>
      <c r="B582" t="s">
        <v>64</v>
      </c>
      <c r="C582" t="s">
        <v>393</v>
      </c>
      <c r="D582" s="6">
        <v>42833</v>
      </c>
      <c r="E582" t="s">
        <v>149</v>
      </c>
      <c r="F582" t="s">
        <v>66</v>
      </c>
      <c r="G582" t="s">
        <v>103</v>
      </c>
      <c r="H582" t="s">
        <v>45</v>
      </c>
      <c r="I582" t="s">
        <v>45</v>
      </c>
      <c r="J582" t="s">
        <v>20</v>
      </c>
      <c r="K582" t="s">
        <v>21</v>
      </c>
      <c r="L582" t="s">
        <v>45</v>
      </c>
      <c r="M582">
        <v>0</v>
      </c>
      <c r="N582">
        <v>6</v>
      </c>
      <c r="O582" t="s">
        <v>108</v>
      </c>
      <c r="P582" t="s">
        <v>34</v>
      </c>
    </row>
    <row r="583" spans="1:16" x14ac:dyDescent="0.3">
      <c r="A583">
        <v>5</v>
      </c>
      <c r="B583" t="s">
        <v>105</v>
      </c>
      <c r="C583" t="s">
        <v>393</v>
      </c>
      <c r="D583" s="6">
        <v>42833</v>
      </c>
      <c r="E583" t="s">
        <v>150</v>
      </c>
      <c r="F583" t="s">
        <v>60</v>
      </c>
      <c r="G583" t="s">
        <v>50</v>
      </c>
      <c r="H583" t="s">
        <v>38</v>
      </c>
      <c r="I583" t="s">
        <v>50</v>
      </c>
      <c r="J583" t="s">
        <v>40</v>
      </c>
      <c r="K583" t="s">
        <v>21</v>
      </c>
      <c r="L583" t="s">
        <v>50</v>
      </c>
      <c r="M583">
        <v>15</v>
      </c>
      <c r="N583">
        <v>0</v>
      </c>
    </row>
    <row r="584" spans="1:16" x14ac:dyDescent="0.3">
      <c r="A584">
        <v>6</v>
      </c>
      <c r="B584" t="s">
        <v>53</v>
      </c>
      <c r="C584" t="s">
        <v>393</v>
      </c>
      <c r="D584" s="6">
        <v>42834</v>
      </c>
      <c r="E584" t="s">
        <v>25</v>
      </c>
      <c r="F584" t="s">
        <v>55</v>
      </c>
      <c r="G584" t="s">
        <v>117</v>
      </c>
      <c r="H584" t="s">
        <v>18</v>
      </c>
      <c r="I584" t="s">
        <v>18</v>
      </c>
      <c r="J584" t="s">
        <v>20</v>
      </c>
      <c r="K584" t="s">
        <v>21</v>
      </c>
      <c r="L584" t="s">
        <v>18</v>
      </c>
      <c r="M584">
        <v>0</v>
      </c>
      <c r="N584">
        <v>9</v>
      </c>
      <c r="O584" t="s">
        <v>112</v>
      </c>
      <c r="P584" t="s">
        <v>104</v>
      </c>
    </row>
    <row r="585" spans="1:16" x14ac:dyDescent="0.3">
      <c r="A585">
        <v>7</v>
      </c>
      <c r="B585" t="s">
        <v>15</v>
      </c>
      <c r="C585" t="s">
        <v>393</v>
      </c>
      <c r="D585" s="6">
        <v>42834</v>
      </c>
      <c r="E585" t="s">
        <v>94</v>
      </c>
      <c r="F585" t="s">
        <v>17</v>
      </c>
      <c r="G585" t="s">
        <v>27</v>
      </c>
      <c r="H585" t="s">
        <v>39</v>
      </c>
      <c r="I585" t="s">
        <v>39</v>
      </c>
      <c r="J585" t="s">
        <v>20</v>
      </c>
      <c r="K585" t="s">
        <v>21</v>
      </c>
      <c r="L585" t="s">
        <v>39</v>
      </c>
      <c r="M585">
        <v>0</v>
      </c>
      <c r="N585">
        <v>4</v>
      </c>
      <c r="O585" t="s">
        <v>28</v>
      </c>
      <c r="P585" t="s">
        <v>113</v>
      </c>
    </row>
    <row r="586" spans="1:16" x14ac:dyDescent="0.3">
      <c r="A586">
        <v>8</v>
      </c>
      <c r="B586" t="s">
        <v>64</v>
      </c>
      <c r="C586" t="s">
        <v>393</v>
      </c>
      <c r="D586" s="6">
        <v>42835</v>
      </c>
      <c r="E586" t="s">
        <v>148</v>
      </c>
      <c r="F586" t="s">
        <v>66</v>
      </c>
      <c r="G586" t="s">
        <v>50</v>
      </c>
      <c r="H586" t="s">
        <v>45</v>
      </c>
      <c r="I586" t="s">
        <v>50</v>
      </c>
      <c r="J586" t="s">
        <v>40</v>
      </c>
      <c r="K586" t="s">
        <v>21</v>
      </c>
      <c r="L586" t="s">
        <v>45</v>
      </c>
      <c r="M586">
        <v>0</v>
      </c>
      <c r="N586">
        <v>8</v>
      </c>
      <c r="O586" t="s">
        <v>108</v>
      </c>
      <c r="P586" t="s">
        <v>34</v>
      </c>
    </row>
    <row r="587" spans="1:16" x14ac:dyDescent="0.3">
      <c r="A587">
        <v>9</v>
      </c>
      <c r="B587" t="s">
        <v>42</v>
      </c>
      <c r="C587" t="s">
        <v>393</v>
      </c>
      <c r="D587" s="6">
        <v>42836</v>
      </c>
      <c r="E587" t="s">
        <v>95</v>
      </c>
      <c r="F587" t="s">
        <v>44</v>
      </c>
      <c r="G587" t="s">
        <v>38</v>
      </c>
      <c r="H587" t="s">
        <v>103</v>
      </c>
      <c r="I587" t="s">
        <v>103</v>
      </c>
      <c r="J587" t="s">
        <v>20</v>
      </c>
      <c r="K587" t="s">
        <v>21</v>
      </c>
      <c r="L587" t="s">
        <v>38</v>
      </c>
      <c r="M587">
        <v>97</v>
      </c>
      <c r="N587">
        <v>0</v>
      </c>
      <c r="O587" t="s">
        <v>111</v>
      </c>
      <c r="P587" t="s">
        <v>23</v>
      </c>
    </row>
    <row r="588" spans="1:16" x14ac:dyDescent="0.3">
      <c r="A588">
        <v>10</v>
      </c>
      <c r="B588" t="s">
        <v>15</v>
      </c>
      <c r="C588" t="s">
        <v>393</v>
      </c>
      <c r="D588" s="6">
        <v>42837</v>
      </c>
      <c r="E588" t="s">
        <v>62</v>
      </c>
      <c r="F588" t="s">
        <v>17</v>
      </c>
      <c r="G588" t="s">
        <v>18</v>
      </c>
      <c r="H588" t="s">
        <v>39</v>
      </c>
      <c r="I588" t="s">
        <v>39</v>
      </c>
      <c r="J588" t="s">
        <v>20</v>
      </c>
      <c r="K588" t="s">
        <v>21</v>
      </c>
      <c r="L588" t="s">
        <v>39</v>
      </c>
      <c r="M588">
        <v>0</v>
      </c>
      <c r="N588">
        <v>4</v>
      </c>
      <c r="O588" t="s">
        <v>28</v>
      </c>
      <c r="P588" t="s">
        <v>113</v>
      </c>
    </row>
    <row r="589" spans="1:16" x14ac:dyDescent="0.3">
      <c r="A589">
        <v>11</v>
      </c>
      <c r="B589" t="s">
        <v>24</v>
      </c>
      <c r="C589" t="s">
        <v>393</v>
      </c>
      <c r="D589" s="6">
        <v>42838</v>
      </c>
      <c r="E589" t="s">
        <v>69</v>
      </c>
      <c r="F589" t="s">
        <v>26</v>
      </c>
      <c r="G589" t="s">
        <v>45</v>
      </c>
      <c r="H589" t="s">
        <v>27</v>
      </c>
      <c r="I589" t="s">
        <v>27</v>
      </c>
      <c r="J589" t="s">
        <v>20</v>
      </c>
      <c r="K589" t="s">
        <v>21</v>
      </c>
      <c r="L589" t="s">
        <v>27</v>
      </c>
      <c r="M589">
        <v>0</v>
      </c>
      <c r="N589">
        <v>8</v>
      </c>
      <c r="O589" t="s">
        <v>112</v>
      </c>
      <c r="P589" t="s">
        <v>104</v>
      </c>
    </row>
    <row r="590" spans="1:16" x14ac:dyDescent="0.3">
      <c r="A590">
        <v>12</v>
      </c>
      <c r="B590" t="s">
        <v>105</v>
      </c>
      <c r="C590" t="s">
        <v>393</v>
      </c>
      <c r="D590" s="6">
        <v>42839</v>
      </c>
      <c r="E590" t="s">
        <v>147</v>
      </c>
      <c r="F590" t="s">
        <v>60</v>
      </c>
      <c r="G590" t="s">
        <v>50</v>
      </c>
      <c r="H590" t="s">
        <v>39</v>
      </c>
      <c r="I590" t="s">
        <v>39</v>
      </c>
      <c r="J590" t="s">
        <v>20</v>
      </c>
      <c r="K590" t="s">
        <v>21</v>
      </c>
      <c r="L590" t="s">
        <v>39</v>
      </c>
      <c r="M590">
        <v>0</v>
      </c>
      <c r="N590">
        <v>4</v>
      </c>
      <c r="O590" t="s">
        <v>120</v>
      </c>
      <c r="P590" t="s">
        <v>108</v>
      </c>
    </row>
    <row r="591" spans="1:16" x14ac:dyDescent="0.3">
      <c r="A591">
        <v>13</v>
      </c>
      <c r="B591" t="s">
        <v>136</v>
      </c>
      <c r="C591" t="s">
        <v>393</v>
      </c>
      <c r="D591" s="6">
        <v>42839</v>
      </c>
      <c r="E591" t="s">
        <v>140</v>
      </c>
      <c r="F591" t="s">
        <v>137</v>
      </c>
      <c r="G591" t="s">
        <v>103</v>
      </c>
      <c r="H591" t="s">
        <v>117</v>
      </c>
      <c r="I591" t="s">
        <v>117</v>
      </c>
      <c r="J591" t="s">
        <v>20</v>
      </c>
      <c r="K591" t="s">
        <v>21</v>
      </c>
      <c r="L591" t="s">
        <v>117</v>
      </c>
      <c r="M591">
        <v>0</v>
      </c>
      <c r="N591">
        <v>7</v>
      </c>
      <c r="O591" t="s">
        <v>118</v>
      </c>
      <c r="P591" t="s">
        <v>23</v>
      </c>
    </row>
    <row r="592" spans="1:16" x14ac:dyDescent="0.3">
      <c r="A592">
        <v>14</v>
      </c>
      <c r="B592" t="s">
        <v>24</v>
      </c>
      <c r="C592" t="s">
        <v>393</v>
      </c>
      <c r="D592" s="6">
        <v>42840</v>
      </c>
      <c r="E592" t="s">
        <v>141</v>
      </c>
      <c r="F592" t="s">
        <v>26</v>
      </c>
      <c r="G592" t="s">
        <v>27</v>
      </c>
      <c r="H592" t="s">
        <v>18</v>
      </c>
      <c r="I592" t="s">
        <v>18</v>
      </c>
      <c r="J592" t="s">
        <v>20</v>
      </c>
      <c r="K592" t="s">
        <v>21</v>
      </c>
      <c r="L592" t="s">
        <v>27</v>
      </c>
      <c r="M592">
        <v>17</v>
      </c>
      <c r="N592">
        <v>0</v>
      </c>
      <c r="O592" t="s">
        <v>111</v>
      </c>
      <c r="P592" t="s">
        <v>104</v>
      </c>
    </row>
    <row r="593" spans="1:16" x14ac:dyDescent="0.3">
      <c r="A593">
        <v>15</v>
      </c>
      <c r="B593" t="s">
        <v>35</v>
      </c>
      <c r="C593" t="s">
        <v>393</v>
      </c>
      <c r="D593" s="6">
        <v>42840</v>
      </c>
      <c r="E593" t="s">
        <v>146</v>
      </c>
      <c r="F593" t="s">
        <v>37</v>
      </c>
      <c r="G593" t="s">
        <v>38</v>
      </c>
      <c r="H593" t="s">
        <v>45</v>
      </c>
      <c r="I593" t="s">
        <v>38</v>
      </c>
      <c r="J593" t="s">
        <v>40</v>
      </c>
      <c r="K593" t="s">
        <v>21</v>
      </c>
      <c r="L593" t="s">
        <v>38</v>
      </c>
      <c r="M593">
        <v>51</v>
      </c>
      <c r="N593">
        <v>0</v>
      </c>
      <c r="O593" t="s">
        <v>122</v>
      </c>
      <c r="P593" t="s">
        <v>28</v>
      </c>
    </row>
    <row r="594" spans="1:16" x14ac:dyDescent="0.3">
      <c r="A594">
        <v>16</v>
      </c>
      <c r="B594" t="s">
        <v>15</v>
      </c>
      <c r="C594" t="s">
        <v>393</v>
      </c>
      <c r="D594" s="6">
        <v>42841</v>
      </c>
      <c r="E594" t="s">
        <v>94</v>
      </c>
      <c r="F594" t="s">
        <v>17</v>
      </c>
      <c r="G594" t="s">
        <v>117</v>
      </c>
      <c r="H594" t="s">
        <v>39</v>
      </c>
      <c r="I594" t="s">
        <v>39</v>
      </c>
      <c r="J594" t="s">
        <v>20</v>
      </c>
      <c r="K594" t="s">
        <v>21</v>
      </c>
      <c r="L594" t="s">
        <v>39</v>
      </c>
      <c r="M594">
        <v>0</v>
      </c>
      <c r="N594">
        <v>6</v>
      </c>
      <c r="O594" t="s">
        <v>118</v>
      </c>
      <c r="P594" t="s">
        <v>23</v>
      </c>
    </row>
    <row r="595" spans="1:16" x14ac:dyDescent="0.3">
      <c r="A595">
        <v>17</v>
      </c>
      <c r="B595" t="s">
        <v>105</v>
      </c>
      <c r="C595" t="s">
        <v>393</v>
      </c>
      <c r="D595" s="6">
        <v>42841</v>
      </c>
      <c r="E595" t="s">
        <v>133</v>
      </c>
      <c r="F595" t="s">
        <v>60</v>
      </c>
      <c r="G595" t="s">
        <v>103</v>
      </c>
      <c r="H595" t="s">
        <v>50</v>
      </c>
      <c r="I595" t="s">
        <v>50</v>
      </c>
      <c r="J595" t="s">
        <v>20</v>
      </c>
      <c r="K595" t="s">
        <v>21</v>
      </c>
      <c r="L595" t="s">
        <v>103</v>
      </c>
      <c r="M595">
        <v>27</v>
      </c>
      <c r="N595">
        <v>0</v>
      </c>
      <c r="O595" t="s">
        <v>120</v>
      </c>
      <c r="P595" t="s">
        <v>34</v>
      </c>
    </row>
    <row r="596" spans="1:16" x14ac:dyDescent="0.3">
      <c r="A596">
        <v>18</v>
      </c>
      <c r="B596" t="s">
        <v>35</v>
      </c>
      <c r="C596" t="s">
        <v>393</v>
      </c>
      <c r="D596" s="6">
        <v>42842</v>
      </c>
      <c r="E596" t="s">
        <v>107</v>
      </c>
      <c r="F596" t="s">
        <v>37</v>
      </c>
      <c r="G596" t="s">
        <v>38</v>
      </c>
      <c r="H596" t="s">
        <v>27</v>
      </c>
      <c r="I596" t="s">
        <v>38</v>
      </c>
      <c r="J596" t="s">
        <v>40</v>
      </c>
      <c r="K596" t="s">
        <v>21</v>
      </c>
      <c r="L596" t="s">
        <v>27</v>
      </c>
      <c r="M596">
        <v>0</v>
      </c>
      <c r="N596">
        <v>4</v>
      </c>
      <c r="O596" t="s">
        <v>28</v>
      </c>
      <c r="P596" t="s">
        <v>113</v>
      </c>
    </row>
    <row r="597" spans="1:16" x14ac:dyDescent="0.3">
      <c r="A597">
        <v>19</v>
      </c>
      <c r="B597" t="s">
        <v>53</v>
      </c>
      <c r="C597" t="s">
        <v>393</v>
      </c>
      <c r="D597" s="6">
        <v>42842</v>
      </c>
      <c r="E597" t="s">
        <v>145</v>
      </c>
      <c r="F597" t="s">
        <v>55</v>
      </c>
      <c r="G597" t="s">
        <v>18</v>
      </c>
      <c r="H597" t="s">
        <v>45</v>
      </c>
      <c r="I597" t="s">
        <v>45</v>
      </c>
      <c r="J597" t="s">
        <v>20</v>
      </c>
      <c r="K597" t="s">
        <v>21</v>
      </c>
      <c r="L597" t="s">
        <v>18</v>
      </c>
      <c r="M597">
        <v>5</v>
      </c>
      <c r="N597">
        <v>0</v>
      </c>
      <c r="O597" t="s">
        <v>111</v>
      </c>
      <c r="P597" t="s">
        <v>112</v>
      </c>
    </row>
    <row r="598" spans="1:16" x14ac:dyDescent="0.3">
      <c r="A598">
        <v>20</v>
      </c>
      <c r="B598" t="s">
        <v>136</v>
      </c>
      <c r="C598" t="s">
        <v>393</v>
      </c>
      <c r="D598" s="6">
        <v>42843</v>
      </c>
      <c r="E598" t="s">
        <v>92</v>
      </c>
      <c r="F598" t="s">
        <v>137</v>
      </c>
      <c r="G598" t="s">
        <v>50</v>
      </c>
      <c r="H598" t="s">
        <v>117</v>
      </c>
      <c r="I598" t="s">
        <v>117</v>
      </c>
      <c r="J598" t="s">
        <v>20</v>
      </c>
      <c r="K598" t="s">
        <v>21</v>
      </c>
      <c r="L598" t="s">
        <v>50</v>
      </c>
      <c r="M598">
        <v>21</v>
      </c>
      <c r="N598">
        <v>0</v>
      </c>
      <c r="O598" t="s">
        <v>23</v>
      </c>
      <c r="P598" t="s">
        <v>127</v>
      </c>
    </row>
    <row r="599" spans="1:16" x14ac:dyDescent="0.3">
      <c r="A599">
        <v>21</v>
      </c>
      <c r="B599" t="s">
        <v>53</v>
      </c>
      <c r="C599" t="s">
        <v>393</v>
      </c>
      <c r="D599" s="6">
        <v>42844</v>
      </c>
      <c r="E599" t="s">
        <v>73</v>
      </c>
      <c r="F599" t="s">
        <v>55</v>
      </c>
      <c r="G599" t="s">
        <v>18</v>
      </c>
      <c r="H599" t="s">
        <v>38</v>
      </c>
      <c r="I599" t="s">
        <v>18</v>
      </c>
      <c r="J599" t="s">
        <v>40</v>
      </c>
      <c r="K599" t="s">
        <v>21</v>
      </c>
      <c r="L599" t="s">
        <v>18</v>
      </c>
      <c r="M599">
        <v>15</v>
      </c>
      <c r="N599">
        <v>0</v>
      </c>
      <c r="O599" t="s">
        <v>130</v>
      </c>
      <c r="P599" t="s">
        <v>104</v>
      </c>
    </row>
    <row r="600" spans="1:16" x14ac:dyDescent="0.3">
      <c r="A600">
        <v>22</v>
      </c>
      <c r="B600" t="s">
        <v>64</v>
      </c>
      <c r="C600" t="s">
        <v>393</v>
      </c>
      <c r="D600" s="6">
        <v>42845</v>
      </c>
      <c r="E600" t="s">
        <v>68</v>
      </c>
      <c r="F600" t="s">
        <v>66</v>
      </c>
      <c r="G600" t="s">
        <v>45</v>
      </c>
      <c r="H600" t="s">
        <v>39</v>
      </c>
      <c r="I600" t="s">
        <v>39</v>
      </c>
      <c r="J600" t="s">
        <v>20</v>
      </c>
      <c r="K600" t="s">
        <v>21</v>
      </c>
      <c r="L600" t="s">
        <v>39</v>
      </c>
      <c r="M600">
        <v>0</v>
      </c>
      <c r="N600">
        <v>8</v>
      </c>
      <c r="O600" t="s">
        <v>125</v>
      </c>
      <c r="P600" t="s">
        <v>34</v>
      </c>
    </row>
    <row r="601" spans="1:16" x14ac:dyDescent="0.3">
      <c r="A601">
        <v>23</v>
      </c>
      <c r="B601" t="s">
        <v>24</v>
      </c>
      <c r="C601" t="s">
        <v>393</v>
      </c>
      <c r="D601" s="6">
        <v>42846</v>
      </c>
      <c r="E601" t="s">
        <v>144</v>
      </c>
      <c r="F601" t="s">
        <v>26</v>
      </c>
      <c r="G601" t="s">
        <v>27</v>
      </c>
      <c r="H601" t="s">
        <v>117</v>
      </c>
      <c r="I601" t="s">
        <v>117</v>
      </c>
      <c r="J601" t="s">
        <v>20</v>
      </c>
      <c r="K601" t="s">
        <v>21</v>
      </c>
      <c r="L601" t="s">
        <v>117</v>
      </c>
      <c r="M601">
        <v>0</v>
      </c>
      <c r="N601">
        <v>4</v>
      </c>
      <c r="O601" t="s">
        <v>130</v>
      </c>
      <c r="P601" t="s">
        <v>28</v>
      </c>
    </row>
    <row r="602" spans="1:16" x14ac:dyDescent="0.3">
      <c r="A602">
        <v>24</v>
      </c>
      <c r="B602" t="s">
        <v>15</v>
      </c>
      <c r="C602" t="s">
        <v>393</v>
      </c>
      <c r="D602" s="6">
        <v>42847</v>
      </c>
      <c r="E602" t="s">
        <v>143</v>
      </c>
      <c r="F602" t="s">
        <v>17</v>
      </c>
      <c r="G602" t="s">
        <v>39</v>
      </c>
      <c r="H602" t="s">
        <v>38</v>
      </c>
      <c r="I602" t="s">
        <v>38</v>
      </c>
      <c r="J602" t="s">
        <v>20</v>
      </c>
      <c r="K602" t="s">
        <v>21</v>
      </c>
      <c r="L602" t="s">
        <v>39</v>
      </c>
      <c r="M602">
        <v>14</v>
      </c>
      <c r="N602">
        <v>0</v>
      </c>
      <c r="O602" t="s">
        <v>118</v>
      </c>
      <c r="P602" t="s">
        <v>23</v>
      </c>
    </row>
    <row r="603" spans="1:16" x14ac:dyDescent="0.3">
      <c r="A603">
        <v>25</v>
      </c>
      <c r="B603" t="s">
        <v>42</v>
      </c>
      <c r="C603" t="s">
        <v>393</v>
      </c>
      <c r="D603" s="6">
        <v>42847</v>
      </c>
      <c r="E603" t="s">
        <v>87</v>
      </c>
      <c r="F603" t="s">
        <v>44</v>
      </c>
      <c r="G603" t="s">
        <v>18</v>
      </c>
      <c r="H603" t="s">
        <v>103</v>
      </c>
      <c r="I603" t="s">
        <v>103</v>
      </c>
      <c r="J603" t="s">
        <v>20</v>
      </c>
      <c r="K603" t="s">
        <v>21</v>
      </c>
      <c r="L603" t="s">
        <v>103</v>
      </c>
      <c r="M603">
        <v>0</v>
      </c>
      <c r="N603">
        <v>6</v>
      </c>
      <c r="O603" t="s">
        <v>111</v>
      </c>
      <c r="P603" t="s">
        <v>112</v>
      </c>
    </row>
    <row r="604" spans="1:16" x14ac:dyDescent="0.3">
      <c r="A604">
        <v>26</v>
      </c>
      <c r="B604" t="s">
        <v>136</v>
      </c>
      <c r="C604" t="s">
        <v>393</v>
      </c>
      <c r="D604" s="6">
        <v>42848</v>
      </c>
      <c r="E604" t="s">
        <v>142</v>
      </c>
      <c r="F604" t="s">
        <v>137</v>
      </c>
      <c r="G604" t="s">
        <v>45</v>
      </c>
      <c r="H604" t="s">
        <v>117</v>
      </c>
      <c r="I604" t="s">
        <v>117</v>
      </c>
      <c r="J604" t="s">
        <v>20</v>
      </c>
      <c r="K604" t="s">
        <v>21</v>
      </c>
      <c r="L604" t="s">
        <v>45</v>
      </c>
      <c r="M604">
        <v>26</v>
      </c>
      <c r="N604">
        <v>0</v>
      </c>
      <c r="O604" t="s">
        <v>108</v>
      </c>
      <c r="P604" t="s">
        <v>125</v>
      </c>
    </row>
    <row r="605" spans="1:16" x14ac:dyDescent="0.3">
      <c r="A605">
        <v>27</v>
      </c>
      <c r="B605" t="s">
        <v>24</v>
      </c>
      <c r="C605" t="s">
        <v>393</v>
      </c>
      <c r="D605" s="6">
        <v>42848</v>
      </c>
      <c r="E605" t="s">
        <v>107</v>
      </c>
      <c r="F605" t="s">
        <v>26</v>
      </c>
      <c r="G605" t="s">
        <v>27</v>
      </c>
      <c r="H605" t="s">
        <v>50</v>
      </c>
      <c r="I605" t="s">
        <v>50</v>
      </c>
      <c r="J605" t="s">
        <v>20</v>
      </c>
      <c r="K605" t="s">
        <v>21</v>
      </c>
      <c r="L605" t="s">
        <v>27</v>
      </c>
      <c r="M605">
        <v>82</v>
      </c>
      <c r="N605">
        <v>0</v>
      </c>
      <c r="O605" t="s">
        <v>130</v>
      </c>
      <c r="P605" t="s">
        <v>113</v>
      </c>
    </row>
    <row r="606" spans="1:16" x14ac:dyDescent="0.3">
      <c r="A606">
        <v>28</v>
      </c>
      <c r="B606" t="s">
        <v>15</v>
      </c>
      <c r="C606" t="s">
        <v>393</v>
      </c>
      <c r="D606" s="6">
        <v>42849</v>
      </c>
      <c r="E606" t="s">
        <v>133</v>
      </c>
      <c r="F606" t="s">
        <v>17</v>
      </c>
      <c r="G606" t="s">
        <v>103</v>
      </c>
      <c r="H606" t="s">
        <v>39</v>
      </c>
      <c r="I606" t="s">
        <v>39</v>
      </c>
      <c r="J606" t="s">
        <v>20</v>
      </c>
      <c r="K606" t="s">
        <v>21</v>
      </c>
      <c r="L606" t="s">
        <v>103</v>
      </c>
      <c r="M606">
        <v>3</v>
      </c>
      <c r="N606">
        <v>0</v>
      </c>
      <c r="O606" t="s">
        <v>118</v>
      </c>
      <c r="P606" t="s">
        <v>23</v>
      </c>
    </row>
    <row r="607" spans="1:16" x14ac:dyDescent="0.3">
      <c r="A607">
        <v>29</v>
      </c>
      <c r="B607" t="s">
        <v>42</v>
      </c>
      <c r="C607" t="s">
        <v>393</v>
      </c>
      <c r="D607" s="6">
        <v>42851</v>
      </c>
      <c r="E607" t="s">
        <v>141</v>
      </c>
      <c r="F607" t="s">
        <v>44</v>
      </c>
      <c r="G607" t="s">
        <v>103</v>
      </c>
      <c r="H607" t="s">
        <v>27</v>
      </c>
      <c r="I607" t="s">
        <v>27</v>
      </c>
      <c r="J607" t="s">
        <v>20</v>
      </c>
      <c r="K607" t="s">
        <v>21</v>
      </c>
      <c r="L607" t="s">
        <v>27</v>
      </c>
      <c r="M607">
        <v>0</v>
      </c>
      <c r="N607">
        <v>7</v>
      </c>
      <c r="O607" t="s">
        <v>111</v>
      </c>
      <c r="P607" t="s">
        <v>104</v>
      </c>
    </row>
    <row r="608" spans="1:16" x14ac:dyDescent="0.3">
      <c r="A608">
        <v>30</v>
      </c>
      <c r="B608" t="s">
        <v>105</v>
      </c>
      <c r="C608" t="s">
        <v>393</v>
      </c>
      <c r="D608" s="6">
        <v>42852</v>
      </c>
      <c r="E608" t="s">
        <v>140</v>
      </c>
      <c r="F608" t="s">
        <v>60</v>
      </c>
      <c r="G608" t="s">
        <v>50</v>
      </c>
      <c r="H608" t="s">
        <v>117</v>
      </c>
      <c r="I608" t="s">
        <v>117</v>
      </c>
      <c r="J608" t="s">
        <v>20</v>
      </c>
      <c r="K608" t="s">
        <v>21</v>
      </c>
      <c r="L608" t="s">
        <v>117</v>
      </c>
      <c r="M608">
        <v>0</v>
      </c>
      <c r="N608">
        <v>7</v>
      </c>
      <c r="O608" t="s">
        <v>108</v>
      </c>
      <c r="P608" t="s">
        <v>34</v>
      </c>
    </row>
    <row r="609" spans="1:16" x14ac:dyDescent="0.3">
      <c r="A609">
        <v>31</v>
      </c>
      <c r="B609" t="s">
        <v>24</v>
      </c>
      <c r="C609" t="s">
        <v>393</v>
      </c>
      <c r="D609" s="6">
        <v>42853</v>
      </c>
      <c r="E609" t="s">
        <v>139</v>
      </c>
      <c r="F609" t="s">
        <v>26</v>
      </c>
      <c r="G609" t="s">
        <v>38</v>
      </c>
      <c r="H609" t="s">
        <v>27</v>
      </c>
      <c r="I609" t="s">
        <v>27</v>
      </c>
      <c r="J609" t="s">
        <v>20</v>
      </c>
      <c r="K609" t="s">
        <v>21</v>
      </c>
      <c r="L609" t="s">
        <v>27</v>
      </c>
      <c r="M609">
        <v>0</v>
      </c>
      <c r="N609">
        <v>7</v>
      </c>
      <c r="O609" t="s">
        <v>104</v>
      </c>
      <c r="P609" t="s">
        <v>23</v>
      </c>
    </row>
    <row r="610" spans="1:16" x14ac:dyDescent="0.3">
      <c r="A610">
        <v>32</v>
      </c>
      <c r="B610" t="s">
        <v>123</v>
      </c>
      <c r="C610" t="s">
        <v>393</v>
      </c>
      <c r="D610" s="6">
        <v>42853</v>
      </c>
      <c r="E610" t="s">
        <v>25</v>
      </c>
      <c r="F610" t="s">
        <v>93</v>
      </c>
      <c r="G610" t="s">
        <v>18</v>
      </c>
      <c r="H610" t="s">
        <v>45</v>
      </c>
      <c r="I610" t="s">
        <v>45</v>
      </c>
      <c r="J610" t="s">
        <v>20</v>
      </c>
      <c r="K610" t="s">
        <v>21</v>
      </c>
      <c r="L610" t="s">
        <v>18</v>
      </c>
      <c r="M610">
        <v>26</v>
      </c>
      <c r="N610">
        <v>0</v>
      </c>
      <c r="O610" t="s">
        <v>28</v>
      </c>
      <c r="P610" t="s">
        <v>113</v>
      </c>
    </row>
    <row r="611" spans="1:16" x14ac:dyDescent="0.3">
      <c r="A611">
        <v>33</v>
      </c>
      <c r="B611" t="s">
        <v>42</v>
      </c>
      <c r="C611" t="s">
        <v>393</v>
      </c>
      <c r="D611" s="6">
        <v>42854</v>
      </c>
      <c r="E611" t="s">
        <v>135</v>
      </c>
      <c r="F611" t="s">
        <v>44</v>
      </c>
      <c r="G611" t="s">
        <v>103</v>
      </c>
      <c r="H611" t="s">
        <v>50</v>
      </c>
      <c r="I611" t="s">
        <v>50</v>
      </c>
      <c r="J611" t="s">
        <v>20</v>
      </c>
      <c r="K611" t="s">
        <v>21</v>
      </c>
      <c r="L611" t="s">
        <v>103</v>
      </c>
      <c r="M611">
        <v>61</v>
      </c>
      <c r="N611">
        <v>0</v>
      </c>
      <c r="O611" t="s">
        <v>120</v>
      </c>
      <c r="P611" t="s">
        <v>125</v>
      </c>
    </row>
    <row r="612" spans="1:16" x14ac:dyDescent="0.3">
      <c r="A612">
        <v>34</v>
      </c>
      <c r="B612" t="s">
        <v>136</v>
      </c>
      <c r="C612" t="s">
        <v>393</v>
      </c>
      <c r="D612" s="6">
        <v>42854</v>
      </c>
      <c r="E612" t="s">
        <v>102</v>
      </c>
      <c r="F612" t="s">
        <v>137</v>
      </c>
      <c r="G612" t="s">
        <v>117</v>
      </c>
      <c r="H612" t="s">
        <v>39</v>
      </c>
      <c r="I612" t="s">
        <v>117</v>
      </c>
      <c r="J612" t="s">
        <v>40</v>
      </c>
      <c r="K612" t="s">
        <v>138</v>
      </c>
      <c r="L612" t="s">
        <v>39</v>
      </c>
      <c r="M612">
        <v>0</v>
      </c>
      <c r="N612">
        <v>0</v>
      </c>
      <c r="O612" t="s">
        <v>108</v>
      </c>
      <c r="P612" t="s">
        <v>130</v>
      </c>
    </row>
    <row r="613" spans="1:16" x14ac:dyDescent="0.3">
      <c r="A613">
        <v>35</v>
      </c>
      <c r="B613" t="s">
        <v>123</v>
      </c>
      <c r="C613" t="s">
        <v>393</v>
      </c>
      <c r="D613" s="6">
        <v>42855</v>
      </c>
      <c r="E613" t="s">
        <v>129</v>
      </c>
      <c r="F613" t="s">
        <v>93</v>
      </c>
      <c r="G613" t="s">
        <v>38</v>
      </c>
      <c r="H613" t="s">
        <v>45</v>
      </c>
      <c r="I613" t="s">
        <v>45</v>
      </c>
      <c r="J613" t="s">
        <v>20</v>
      </c>
      <c r="K613" t="s">
        <v>21</v>
      </c>
      <c r="L613" t="s">
        <v>45</v>
      </c>
      <c r="M613">
        <v>0</v>
      </c>
      <c r="N613">
        <v>10</v>
      </c>
      <c r="O613" t="s">
        <v>122</v>
      </c>
      <c r="P613" t="s">
        <v>113</v>
      </c>
    </row>
    <row r="614" spans="1:16" x14ac:dyDescent="0.3">
      <c r="A614">
        <v>36</v>
      </c>
      <c r="B614" t="s">
        <v>53</v>
      </c>
      <c r="C614" t="s">
        <v>393</v>
      </c>
      <c r="D614" s="6">
        <v>42855</v>
      </c>
      <c r="E614" t="s">
        <v>134</v>
      </c>
      <c r="F614" t="s">
        <v>55</v>
      </c>
      <c r="G614" t="s">
        <v>18</v>
      </c>
      <c r="H614" t="s">
        <v>27</v>
      </c>
      <c r="I614" t="s">
        <v>27</v>
      </c>
      <c r="J614" t="s">
        <v>20</v>
      </c>
      <c r="K614" t="s">
        <v>21</v>
      </c>
      <c r="L614" t="s">
        <v>18</v>
      </c>
      <c r="M614">
        <v>48</v>
      </c>
      <c r="N614">
        <v>0</v>
      </c>
      <c r="O614" t="s">
        <v>111</v>
      </c>
      <c r="P614" t="s">
        <v>23</v>
      </c>
    </row>
    <row r="615" spans="1:16" x14ac:dyDescent="0.3">
      <c r="A615">
        <v>37</v>
      </c>
      <c r="B615" t="s">
        <v>15</v>
      </c>
      <c r="C615" t="s">
        <v>393</v>
      </c>
      <c r="D615" s="6">
        <v>42856</v>
      </c>
      <c r="E615" t="s">
        <v>83</v>
      </c>
      <c r="F615" t="s">
        <v>17</v>
      </c>
      <c r="G615" t="s">
        <v>50</v>
      </c>
      <c r="H615" t="s">
        <v>39</v>
      </c>
      <c r="I615" t="s">
        <v>50</v>
      </c>
      <c r="J615" t="s">
        <v>40</v>
      </c>
      <c r="K615" t="s">
        <v>21</v>
      </c>
      <c r="L615" t="s">
        <v>39</v>
      </c>
      <c r="M615">
        <v>0</v>
      </c>
      <c r="N615">
        <v>5</v>
      </c>
      <c r="O615" t="s">
        <v>108</v>
      </c>
      <c r="P615" t="s">
        <v>130</v>
      </c>
    </row>
    <row r="616" spans="1:16" x14ac:dyDescent="0.3">
      <c r="A616">
        <v>38</v>
      </c>
      <c r="B616" t="s">
        <v>42</v>
      </c>
      <c r="C616" t="s">
        <v>393</v>
      </c>
      <c r="D616" s="6">
        <v>42856</v>
      </c>
      <c r="E616" t="s">
        <v>133</v>
      </c>
      <c r="F616" t="s">
        <v>44</v>
      </c>
      <c r="G616" t="s">
        <v>117</v>
      </c>
      <c r="H616" t="s">
        <v>103</v>
      </c>
      <c r="I616" t="s">
        <v>103</v>
      </c>
      <c r="J616" t="s">
        <v>20</v>
      </c>
      <c r="K616" t="s">
        <v>21</v>
      </c>
      <c r="L616" t="s">
        <v>103</v>
      </c>
      <c r="M616">
        <v>0</v>
      </c>
      <c r="N616">
        <v>5</v>
      </c>
      <c r="O616" t="s">
        <v>125</v>
      </c>
      <c r="P616" t="s">
        <v>34</v>
      </c>
    </row>
    <row r="617" spans="1:16" x14ac:dyDescent="0.3">
      <c r="A617">
        <v>39</v>
      </c>
      <c r="B617" t="s">
        <v>35</v>
      </c>
      <c r="C617" t="s">
        <v>393</v>
      </c>
      <c r="D617" s="6">
        <v>42857</v>
      </c>
      <c r="E617" t="s">
        <v>132</v>
      </c>
      <c r="F617" t="s">
        <v>37</v>
      </c>
      <c r="G617" t="s">
        <v>18</v>
      </c>
      <c r="H617" t="s">
        <v>38</v>
      </c>
      <c r="I617" t="s">
        <v>38</v>
      </c>
      <c r="J617" t="s">
        <v>20</v>
      </c>
      <c r="K617" t="s">
        <v>21</v>
      </c>
      <c r="L617" t="s">
        <v>38</v>
      </c>
      <c r="M617">
        <v>0</v>
      </c>
      <c r="N617">
        <v>6</v>
      </c>
      <c r="O617" t="s">
        <v>122</v>
      </c>
      <c r="P617" t="s">
        <v>28</v>
      </c>
    </row>
    <row r="618" spans="1:16" x14ac:dyDescent="0.3">
      <c r="A618">
        <v>40</v>
      </c>
      <c r="B618" t="s">
        <v>24</v>
      </c>
      <c r="C618" t="s">
        <v>393</v>
      </c>
      <c r="D618" s="6">
        <v>42858</v>
      </c>
      <c r="E618" t="s">
        <v>131</v>
      </c>
      <c r="F618" t="s">
        <v>26</v>
      </c>
      <c r="G618" t="s">
        <v>27</v>
      </c>
      <c r="H618" t="s">
        <v>103</v>
      </c>
      <c r="I618" t="s">
        <v>103</v>
      </c>
      <c r="J618" t="s">
        <v>20</v>
      </c>
      <c r="K618" t="s">
        <v>21</v>
      </c>
      <c r="L618" t="s">
        <v>103</v>
      </c>
      <c r="M618">
        <v>0</v>
      </c>
      <c r="N618">
        <v>4</v>
      </c>
      <c r="O618" t="s">
        <v>120</v>
      </c>
      <c r="P618" t="s">
        <v>118</v>
      </c>
    </row>
    <row r="619" spans="1:16" x14ac:dyDescent="0.3">
      <c r="A619">
        <v>41</v>
      </c>
      <c r="B619" t="s">
        <v>35</v>
      </c>
      <c r="C619" t="s">
        <v>393</v>
      </c>
      <c r="D619" s="6">
        <v>42859</v>
      </c>
      <c r="E619" t="s">
        <v>79</v>
      </c>
      <c r="F619" t="s">
        <v>37</v>
      </c>
      <c r="G619" t="s">
        <v>117</v>
      </c>
      <c r="H619" t="s">
        <v>38</v>
      </c>
      <c r="I619" t="s">
        <v>38</v>
      </c>
      <c r="J619" t="s">
        <v>20</v>
      </c>
      <c r="K619" t="s">
        <v>21</v>
      </c>
      <c r="L619" t="s">
        <v>38</v>
      </c>
      <c r="M619">
        <v>0</v>
      </c>
      <c r="N619">
        <v>7</v>
      </c>
      <c r="O619" t="s">
        <v>125</v>
      </c>
      <c r="P619" t="s">
        <v>28</v>
      </c>
    </row>
    <row r="620" spans="1:16" x14ac:dyDescent="0.3">
      <c r="A620">
        <v>42</v>
      </c>
      <c r="B620" t="s">
        <v>105</v>
      </c>
      <c r="C620" t="s">
        <v>393</v>
      </c>
      <c r="D620" s="6">
        <v>42860</v>
      </c>
      <c r="E620" t="s">
        <v>129</v>
      </c>
      <c r="F620" t="s">
        <v>60</v>
      </c>
      <c r="G620" t="s">
        <v>45</v>
      </c>
      <c r="H620" t="s">
        <v>50</v>
      </c>
      <c r="I620" t="s">
        <v>50</v>
      </c>
      <c r="J620" t="s">
        <v>20</v>
      </c>
      <c r="K620" t="s">
        <v>21</v>
      </c>
      <c r="L620" t="s">
        <v>45</v>
      </c>
      <c r="M620">
        <v>19</v>
      </c>
      <c r="N620">
        <v>0</v>
      </c>
      <c r="O620" t="s">
        <v>130</v>
      </c>
      <c r="P620" t="s">
        <v>34</v>
      </c>
    </row>
    <row r="621" spans="1:16" x14ac:dyDescent="0.3">
      <c r="A621">
        <v>43</v>
      </c>
      <c r="B621" t="s">
        <v>53</v>
      </c>
      <c r="C621" t="s">
        <v>393</v>
      </c>
      <c r="D621" s="6">
        <v>42861</v>
      </c>
      <c r="E621" t="s">
        <v>110</v>
      </c>
      <c r="F621" t="s">
        <v>55</v>
      </c>
      <c r="G621" t="s">
        <v>103</v>
      </c>
      <c r="H621" t="s">
        <v>18</v>
      </c>
      <c r="I621" t="s">
        <v>18</v>
      </c>
      <c r="J621" t="s">
        <v>20</v>
      </c>
      <c r="K621" t="s">
        <v>21</v>
      </c>
      <c r="L621" t="s">
        <v>103</v>
      </c>
      <c r="M621">
        <v>12</v>
      </c>
      <c r="N621">
        <v>0</v>
      </c>
      <c r="O621" t="s">
        <v>120</v>
      </c>
      <c r="P621" t="s">
        <v>108</v>
      </c>
    </row>
    <row r="622" spans="1:16" x14ac:dyDescent="0.3">
      <c r="A622">
        <v>44</v>
      </c>
      <c r="B622" t="s">
        <v>35</v>
      </c>
      <c r="C622" t="s">
        <v>393</v>
      </c>
      <c r="D622" s="6">
        <v>42861</v>
      </c>
      <c r="E622" t="s">
        <v>128</v>
      </c>
      <c r="F622" t="s">
        <v>37</v>
      </c>
      <c r="G622" t="s">
        <v>39</v>
      </c>
      <c r="H622" t="s">
        <v>38</v>
      </c>
      <c r="I622" t="s">
        <v>38</v>
      </c>
      <c r="J622" t="s">
        <v>20</v>
      </c>
      <c r="K622" t="s">
        <v>21</v>
      </c>
      <c r="L622" t="s">
        <v>39</v>
      </c>
      <c r="M622">
        <v>146</v>
      </c>
      <c r="N622">
        <v>0</v>
      </c>
      <c r="O622" t="s">
        <v>28</v>
      </c>
      <c r="P622" t="s">
        <v>113</v>
      </c>
    </row>
    <row r="623" spans="1:16" x14ac:dyDescent="0.3">
      <c r="A623">
        <v>45</v>
      </c>
      <c r="B623" t="s">
        <v>105</v>
      </c>
      <c r="C623" t="s">
        <v>393</v>
      </c>
      <c r="D623" s="6">
        <v>42862</v>
      </c>
      <c r="E623" t="s">
        <v>69</v>
      </c>
      <c r="F623" t="s">
        <v>60</v>
      </c>
      <c r="G623" t="s">
        <v>50</v>
      </c>
      <c r="H623" t="s">
        <v>27</v>
      </c>
      <c r="I623" t="s">
        <v>27</v>
      </c>
      <c r="J623" t="s">
        <v>20</v>
      </c>
      <c r="K623" t="s">
        <v>21</v>
      </c>
      <c r="L623" t="s">
        <v>27</v>
      </c>
      <c r="M623">
        <v>0</v>
      </c>
      <c r="N623">
        <v>6</v>
      </c>
      <c r="O623" t="s">
        <v>111</v>
      </c>
      <c r="P623" t="s">
        <v>34</v>
      </c>
    </row>
    <row r="624" spans="1:16" x14ac:dyDescent="0.3">
      <c r="A624">
        <v>46</v>
      </c>
      <c r="B624" t="s">
        <v>123</v>
      </c>
      <c r="C624" t="s">
        <v>393</v>
      </c>
      <c r="D624" s="6">
        <v>42862</v>
      </c>
      <c r="E624" t="s">
        <v>126</v>
      </c>
      <c r="F624" t="s">
        <v>93</v>
      </c>
      <c r="G624" t="s">
        <v>45</v>
      </c>
      <c r="H624" t="s">
        <v>117</v>
      </c>
      <c r="I624" t="s">
        <v>117</v>
      </c>
      <c r="J624" t="s">
        <v>20</v>
      </c>
      <c r="K624" t="s">
        <v>21</v>
      </c>
      <c r="L624" t="s">
        <v>117</v>
      </c>
      <c r="M624">
        <v>0</v>
      </c>
      <c r="N624">
        <v>6</v>
      </c>
      <c r="O624" t="s">
        <v>118</v>
      </c>
      <c r="P624" t="s">
        <v>127</v>
      </c>
    </row>
    <row r="625" spans="1:16" x14ac:dyDescent="0.3">
      <c r="A625">
        <v>47</v>
      </c>
      <c r="B625" t="s">
        <v>53</v>
      </c>
      <c r="C625" t="s">
        <v>393</v>
      </c>
      <c r="D625" s="6">
        <v>42863</v>
      </c>
      <c r="E625" t="s">
        <v>70</v>
      </c>
      <c r="F625" t="s">
        <v>55</v>
      </c>
      <c r="G625" t="s">
        <v>39</v>
      </c>
      <c r="H625" t="s">
        <v>18</v>
      </c>
      <c r="I625" t="s">
        <v>39</v>
      </c>
      <c r="J625" t="s">
        <v>40</v>
      </c>
      <c r="K625" t="s">
        <v>21</v>
      </c>
      <c r="L625" t="s">
        <v>18</v>
      </c>
      <c r="M625">
        <v>0</v>
      </c>
      <c r="N625">
        <v>7</v>
      </c>
      <c r="O625" t="s">
        <v>120</v>
      </c>
      <c r="P625" t="s">
        <v>125</v>
      </c>
    </row>
    <row r="626" spans="1:16" x14ac:dyDescent="0.3">
      <c r="A626">
        <v>48</v>
      </c>
      <c r="B626" t="s">
        <v>123</v>
      </c>
      <c r="C626" t="s">
        <v>393</v>
      </c>
      <c r="D626" s="6">
        <v>42864</v>
      </c>
      <c r="E626" t="s">
        <v>124</v>
      </c>
      <c r="F626" t="s">
        <v>93</v>
      </c>
      <c r="G626" t="s">
        <v>45</v>
      </c>
      <c r="H626" t="s">
        <v>27</v>
      </c>
      <c r="I626" t="s">
        <v>27</v>
      </c>
      <c r="J626" t="s">
        <v>20</v>
      </c>
      <c r="K626" t="s">
        <v>21</v>
      </c>
      <c r="L626" t="s">
        <v>45</v>
      </c>
      <c r="M626">
        <v>14</v>
      </c>
      <c r="N626">
        <v>0</v>
      </c>
      <c r="O626" t="s">
        <v>118</v>
      </c>
      <c r="P626" t="s">
        <v>23</v>
      </c>
    </row>
    <row r="627" spans="1:16" x14ac:dyDescent="0.3">
      <c r="A627">
        <v>49</v>
      </c>
      <c r="B627" t="s">
        <v>114</v>
      </c>
      <c r="C627" t="s">
        <v>393</v>
      </c>
      <c r="D627" s="6">
        <v>42865</v>
      </c>
      <c r="E627" t="s">
        <v>85</v>
      </c>
      <c r="F627" t="s">
        <v>116</v>
      </c>
      <c r="G627" t="s">
        <v>117</v>
      </c>
      <c r="H627" t="s">
        <v>38</v>
      </c>
      <c r="I627" t="s">
        <v>38</v>
      </c>
      <c r="J627" t="s">
        <v>20</v>
      </c>
      <c r="K627" t="s">
        <v>21</v>
      </c>
      <c r="L627" t="s">
        <v>38</v>
      </c>
      <c r="M627">
        <v>0</v>
      </c>
      <c r="N627">
        <v>2</v>
      </c>
      <c r="O627" t="s">
        <v>122</v>
      </c>
      <c r="P627" t="s">
        <v>108</v>
      </c>
    </row>
    <row r="628" spans="1:16" x14ac:dyDescent="0.3">
      <c r="A628">
        <v>50</v>
      </c>
      <c r="B628" t="s">
        <v>15</v>
      </c>
      <c r="C628" t="s">
        <v>393</v>
      </c>
      <c r="D628" s="6">
        <v>42866</v>
      </c>
      <c r="E628" t="s">
        <v>121</v>
      </c>
      <c r="F628" t="s">
        <v>17</v>
      </c>
      <c r="G628" t="s">
        <v>45</v>
      </c>
      <c r="H628" t="s">
        <v>39</v>
      </c>
      <c r="I628" t="s">
        <v>39</v>
      </c>
      <c r="J628" t="s">
        <v>20</v>
      </c>
      <c r="K628" t="s">
        <v>21</v>
      </c>
      <c r="L628" t="s">
        <v>45</v>
      </c>
      <c r="M628">
        <v>7</v>
      </c>
      <c r="N628">
        <v>0</v>
      </c>
      <c r="O628" t="s">
        <v>112</v>
      </c>
      <c r="P628" t="s">
        <v>118</v>
      </c>
    </row>
    <row r="629" spans="1:16" x14ac:dyDescent="0.3">
      <c r="A629">
        <v>51</v>
      </c>
      <c r="B629" t="s">
        <v>35</v>
      </c>
      <c r="C629" t="s">
        <v>393</v>
      </c>
      <c r="D629" s="6">
        <v>42867</v>
      </c>
      <c r="E629" t="s">
        <v>119</v>
      </c>
      <c r="F629" t="s">
        <v>37</v>
      </c>
      <c r="G629" t="s">
        <v>38</v>
      </c>
      <c r="H629" t="s">
        <v>103</v>
      </c>
      <c r="I629" t="s">
        <v>38</v>
      </c>
      <c r="J629" t="s">
        <v>40</v>
      </c>
      <c r="K629" t="s">
        <v>21</v>
      </c>
      <c r="L629" t="s">
        <v>38</v>
      </c>
      <c r="M629">
        <v>7</v>
      </c>
      <c r="N629">
        <v>0</v>
      </c>
      <c r="O629" t="s">
        <v>120</v>
      </c>
      <c r="P629" t="s">
        <v>113</v>
      </c>
    </row>
    <row r="630" spans="1:16" x14ac:dyDescent="0.3">
      <c r="A630">
        <v>52</v>
      </c>
      <c r="B630" t="s">
        <v>114</v>
      </c>
      <c r="C630" t="s">
        <v>393</v>
      </c>
      <c r="D630" s="6">
        <v>42868</v>
      </c>
      <c r="E630" t="s">
        <v>115</v>
      </c>
      <c r="F630" t="s">
        <v>116</v>
      </c>
      <c r="G630" t="s">
        <v>117</v>
      </c>
      <c r="H630" t="s">
        <v>18</v>
      </c>
      <c r="I630" t="s">
        <v>18</v>
      </c>
      <c r="J630" t="s">
        <v>20</v>
      </c>
      <c r="K630" t="s">
        <v>21</v>
      </c>
      <c r="L630" t="s">
        <v>18</v>
      </c>
      <c r="M630">
        <v>0</v>
      </c>
      <c r="N630">
        <v>8</v>
      </c>
      <c r="O630" t="s">
        <v>108</v>
      </c>
      <c r="P630" t="s">
        <v>28</v>
      </c>
    </row>
    <row r="631" spans="1:16" x14ac:dyDescent="0.3">
      <c r="A631">
        <v>53</v>
      </c>
      <c r="B631" t="s">
        <v>24</v>
      </c>
      <c r="C631" t="s">
        <v>393</v>
      </c>
      <c r="D631" s="6">
        <v>42868</v>
      </c>
      <c r="E631" t="s">
        <v>67</v>
      </c>
      <c r="F631" t="s">
        <v>26</v>
      </c>
      <c r="G631" t="s">
        <v>39</v>
      </c>
      <c r="H631" t="s">
        <v>27</v>
      </c>
      <c r="I631" t="s">
        <v>27</v>
      </c>
      <c r="J631" t="s">
        <v>20</v>
      </c>
      <c r="K631" t="s">
        <v>21</v>
      </c>
      <c r="L631" t="s">
        <v>39</v>
      </c>
      <c r="M631">
        <v>9</v>
      </c>
      <c r="N631">
        <v>0</v>
      </c>
      <c r="O631" t="s">
        <v>118</v>
      </c>
      <c r="P631" t="s">
        <v>23</v>
      </c>
    </row>
    <row r="632" spans="1:16" x14ac:dyDescent="0.3">
      <c r="A632">
        <v>54</v>
      </c>
      <c r="B632" t="s">
        <v>42</v>
      </c>
      <c r="C632" t="s">
        <v>393</v>
      </c>
      <c r="D632" s="6">
        <v>42869</v>
      </c>
      <c r="E632" t="s">
        <v>110</v>
      </c>
      <c r="F632" t="s">
        <v>44</v>
      </c>
      <c r="G632" t="s">
        <v>45</v>
      </c>
      <c r="H632" t="s">
        <v>103</v>
      </c>
      <c r="I632" t="s">
        <v>103</v>
      </c>
      <c r="J632" t="s">
        <v>20</v>
      </c>
      <c r="K632" t="s">
        <v>21</v>
      </c>
      <c r="L632" t="s">
        <v>103</v>
      </c>
      <c r="M632">
        <v>0</v>
      </c>
      <c r="N632">
        <v>9</v>
      </c>
      <c r="O632" t="s">
        <v>111</v>
      </c>
      <c r="P632" t="s">
        <v>112</v>
      </c>
    </row>
    <row r="633" spans="1:16" x14ac:dyDescent="0.3">
      <c r="A633">
        <v>55</v>
      </c>
      <c r="B633" t="s">
        <v>35</v>
      </c>
      <c r="C633" t="s">
        <v>393</v>
      </c>
      <c r="D633" s="6">
        <v>42869</v>
      </c>
      <c r="E633" t="s">
        <v>56</v>
      </c>
      <c r="F633" t="s">
        <v>37</v>
      </c>
      <c r="G633" t="s">
        <v>50</v>
      </c>
      <c r="H633" t="s">
        <v>38</v>
      </c>
      <c r="I633" t="s">
        <v>50</v>
      </c>
      <c r="J633" t="s">
        <v>40</v>
      </c>
      <c r="K633" t="s">
        <v>21</v>
      </c>
      <c r="L633" t="s">
        <v>50</v>
      </c>
      <c r="M633">
        <v>10</v>
      </c>
      <c r="N633">
        <v>0</v>
      </c>
      <c r="O633" t="s">
        <v>113</v>
      </c>
      <c r="P633" t="s">
        <v>34</v>
      </c>
    </row>
    <row r="634" spans="1:16" x14ac:dyDescent="0.3">
      <c r="A634">
        <v>56</v>
      </c>
      <c r="B634" t="s">
        <v>15</v>
      </c>
      <c r="C634" t="s">
        <v>393</v>
      </c>
      <c r="D634" s="6">
        <v>42871</v>
      </c>
      <c r="E634" t="s">
        <v>109</v>
      </c>
      <c r="F634" t="s">
        <v>17</v>
      </c>
      <c r="G634" t="s">
        <v>103</v>
      </c>
      <c r="H634" t="s">
        <v>39</v>
      </c>
      <c r="I634" t="s">
        <v>39</v>
      </c>
      <c r="J634" t="s">
        <v>20</v>
      </c>
      <c r="K634" t="s">
        <v>21</v>
      </c>
      <c r="L634" t="s">
        <v>103</v>
      </c>
      <c r="M634">
        <v>20</v>
      </c>
      <c r="N634">
        <v>0</v>
      </c>
      <c r="O634" t="s">
        <v>23</v>
      </c>
      <c r="P634" t="s">
        <v>34</v>
      </c>
    </row>
    <row r="635" spans="1:16" x14ac:dyDescent="0.3">
      <c r="A635">
        <v>57</v>
      </c>
      <c r="B635" t="s">
        <v>105</v>
      </c>
      <c r="C635" t="s">
        <v>393</v>
      </c>
      <c r="D635" s="6">
        <v>42872</v>
      </c>
      <c r="E635" t="s">
        <v>107</v>
      </c>
      <c r="F635" t="s">
        <v>60</v>
      </c>
      <c r="G635" t="s">
        <v>18</v>
      </c>
      <c r="H635" t="s">
        <v>27</v>
      </c>
      <c r="I635" t="s">
        <v>27</v>
      </c>
      <c r="J635" t="s">
        <v>20</v>
      </c>
      <c r="K635" t="s">
        <v>21</v>
      </c>
      <c r="L635" t="s">
        <v>27</v>
      </c>
      <c r="M635">
        <v>0</v>
      </c>
      <c r="N635">
        <v>7</v>
      </c>
      <c r="O635" t="s">
        <v>108</v>
      </c>
      <c r="P635" t="s">
        <v>28</v>
      </c>
    </row>
    <row r="636" spans="1:16" x14ac:dyDescent="0.3">
      <c r="A636">
        <v>58</v>
      </c>
      <c r="B636" t="s">
        <v>105</v>
      </c>
      <c r="C636" t="s">
        <v>393</v>
      </c>
      <c r="D636" s="6">
        <v>42874</v>
      </c>
      <c r="E636" t="s">
        <v>106</v>
      </c>
      <c r="F636" t="s">
        <v>60</v>
      </c>
      <c r="G636" t="s">
        <v>27</v>
      </c>
      <c r="H636" t="s">
        <v>39</v>
      </c>
      <c r="I636" t="s">
        <v>39</v>
      </c>
      <c r="J636" t="s">
        <v>20</v>
      </c>
      <c r="K636" t="s">
        <v>21</v>
      </c>
      <c r="L636" t="s">
        <v>39</v>
      </c>
      <c r="M636">
        <v>0</v>
      </c>
      <c r="N636">
        <v>6</v>
      </c>
      <c r="O636" t="s">
        <v>104</v>
      </c>
      <c r="P636" t="s">
        <v>28</v>
      </c>
    </row>
    <row r="637" spans="1:16" x14ac:dyDescent="0.3">
      <c r="A637">
        <v>59</v>
      </c>
      <c r="B637" t="s">
        <v>53</v>
      </c>
      <c r="C637" t="s">
        <v>393</v>
      </c>
      <c r="D637" s="6">
        <v>42876</v>
      </c>
      <c r="E637" t="s">
        <v>102</v>
      </c>
      <c r="F637" t="s">
        <v>55</v>
      </c>
      <c r="G637" t="s">
        <v>39</v>
      </c>
      <c r="H637" t="s">
        <v>103</v>
      </c>
      <c r="I637" t="s">
        <v>39</v>
      </c>
      <c r="J637" t="s">
        <v>40</v>
      </c>
      <c r="K637" t="s">
        <v>21</v>
      </c>
      <c r="L637" t="s">
        <v>39</v>
      </c>
      <c r="M637">
        <v>1</v>
      </c>
      <c r="N637">
        <v>0</v>
      </c>
      <c r="O637" t="s">
        <v>104</v>
      </c>
      <c r="P637" t="s">
        <v>23</v>
      </c>
    </row>
    <row r="638" spans="1:16" x14ac:dyDescent="0.3">
      <c r="A638">
        <v>7894</v>
      </c>
      <c r="B638" t="s">
        <v>15</v>
      </c>
      <c r="C638" t="s">
        <v>390</v>
      </c>
      <c r="D638" s="6">
        <v>43197</v>
      </c>
      <c r="E638" t="s">
        <v>101</v>
      </c>
      <c r="F638" t="s">
        <v>17</v>
      </c>
      <c r="G638" t="s">
        <v>39</v>
      </c>
      <c r="H638" t="s">
        <v>19</v>
      </c>
      <c r="I638" t="s">
        <v>19</v>
      </c>
      <c r="J638" t="s">
        <v>20</v>
      </c>
      <c r="K638" t="s">
        <v>21</v>
      </c>
      <c r="L638" t="s">
        <v>19</v>
      </c>
      <c r="M638">
        <v>0</v>
      </c>
      <c r="N638">
        <v>1</v>
      </c>
      <c r="O638" t="s">
        <v>84</v>
      </c>
      <c r="P638" t="s">
        <v>81</v>
      </c>
    </row>
    <row r="639" spans="1:16" x14ac:dyDescent="0.3">
      <c r="A639">
        <v>7895</v>
      </c>
      <c r="B639" t="s">
        <v>91</v>
      </c>
      <c r="C639" t="s">
        <v>390</v>
      </c>
      <c r="D639" s="6">
        <v>43198</v>
      </c>
      <c r="E639" t="s">
        <v>90</v>
      </c>
      <c r="F639" t="s">
        <v>93</v>
      </c>
      <c r="G639" t="s">
        <v>38</v>
      </c>
      <c r="H639" t="s">
        <v>45</v>
      </c>
      <c r="I639" t="s">
        <v>45</v>
      </c>
      <c r="J639" t="s">
        <v>20</v>
      </c>
      <c r="K639" t="s">
        <v>21</v>
      </c>
      <c r="L639" t="s">
        <v>45</v>
      </c>
      <c r="M639">
        <v>0</v>
      </c>
      <c r="N639">
        <v>6</v>
      </c>
      <c r="O639" t="s">
        <v>89</v>
      </c>
      <c r="P639" t="s">
        <v>72</v>
      </c>
    </row>
    <row r="640" spans="1:16" x14ac:dyDescent="0.3">
      <c r="A640">
        <v>7896</v>
      </c>
      <c r="B640" t="s">
        <v>24</v>
      </c>
      <c r="C640" t="s">
        <v>390</v>
      </c>
      <c r="D640" s="6">
        <v>43198</v>
      </c>
      <c r="E640" t="s">
        <v>69</v>
      </c>
      <c r="F640" t="s">
        <v>26</v>
      </c>
      <c r="G640" t="s">
        <v>50</v>
      </c>
      <c r="H640" t="s">
        <v>27</v>
      </c>
      <c r="I640" t="s">
        <v>27</v>
      </c>
      <c r="J640" t="s">
        <v>20</v>
      </c>
      <c r="K640" t="s">
        <v>21</v>
      </c>
      <c r="L640" t="s">
        <v>27</v>
      </c>
      <c r="M640">
        <v>0</v>
      </c>
      <c r="N640">
        <v>4</v>
      </c>
      <c r="O640" t="s">
        <v>34</v>
      </c>
      <c r="P640" t="s">
        <v>75</v>
      </c>
    </row>
    <row r="641" spans="1:16" x14ac:dyDescent="0.3">
      <c r="A641">
        <v>7897</v>
      </c>
      <c r="B641" t="s">
        <v>53</v>
      </c>
      <c r="C641" t="s">
        <v>390</v>
      </c>
      <c r="D641" s="6">
        <v>43199</v>
      </c>
      <c r="E641" t="s">
        <v>70</v>
      </c>
      <c r="F641" t="s">
        <v>55</v>
      </c>
      <c r="G641" t="s">
        <v>31</v>
      </c>
      <c r="H641" t="s">
        <v>18</v>
      </c>
      <c r="I641" t="s">
        <v>18</v>
      </c>
      <c r="J641" t="s">
        <v>20</v>
      </c>
      <c r="K641" t="s">
        <v>21</v>
      </c>
      <c r="L641" t="s">
        <v>18</v>
      </c>
      <c r="M641">
        <v>0</v>
      </c>
      <c r="N641">
        <v>9</v>
      </c>
      <c r="O641" t="s">
        <v>82</v>
      </c>
      <c r="P641" t="s">
        <v>57</v>
      </c>
    </row>
    <row r="642" spans="1:16" x14ac:dyDescent="0.3">
      <c r="A642">
        <v>7898</v>
      </c>
      <c r="B642" t="s">
        <v>98</v>
      </c>
      <c r="C642" t="s">
        <v>390</v>
      </c>
      <c r="D642" s="6">
        <v>43200</v>
      </c>
      <c r="E642" t="s">
        <v>99</v>
      </c>
      <c r="F642" t="s">
        <v>100</v>
      </c>
      <c r="G642" t="s">
        <v>27</v>
      </c>
      <c r="H642" t="s">
        <v>19</v>
      </c>
      <c r="I642" t="s">
        <v>19</v>
      </c>
      <c r="J642" t="s">
        <v>20</v>
      </c>
      <c r="K642" t="s">
        <v>21</v>
      </c>
      <c r="L642" t="s">
        <v>19</v>
      </c>
      <c r="M642">
        <v>0</v>
      </c>
      <c r="N642">
        <v>5</v>
      </c>
      <c r="O642" t="s">
        <v>32</v>
      </c>
      <c r="P642" t="s">
        <v>84</v>
      </c>
    </row>
    <row r="643" spans="1:16" x14ac:dyDescent="0.3">
      <c r="A643">
        <v>7899</v>
      </c>
      <c r="B643" t="s">
        <v>47</v>
      </c>
      <c r="C643" t="s">
        <v>390</v>
      </c>
      <c r="D643" s="6">
        <v>43201</v>
      </c>
      <c r="E643" t="s">
        <v>95</v>
      </c>
      <c r="F643" t="s">
        <v>49</v>
      </c>
      <c r="G643" t="s">
        <v>31</v>
      </c>
      <c r="H643" t="s">
        <v>38</v>
      </c>
      <c r="I643" t="s">
        <v>38</v>
      </c>
      <c r="J643" t="s">
        <v>20</v>
      </c>
      <c r="K643" t="s">
        <v>21</v>
      </c>
      <c r="L643" t="s">
        <v>31</v>
      </c>
      <c r="M643">
        <v>10</v>
      </c>
      <c r="N643">
        <v>0</v>
      </c>
      <c r="O643" t="s">
        <v>72</v>
      </c>
      <c r="P643" t="s">
        <v>89</v>
      </c>
    </row>
    <row r="644" spans="1:16" x14ac:dyDescent="0.3">
      <c r="A644">
        <v>7900</v>
      </c>
      <c r="B644" t="s">
        <v>53</v>
      </c>
      <c r="C644" t="s">
        <v>390</v>
      </c>
      <c r="D644" s="6">
        <v>43202</v>
      </c>
      <c r="E644" t="s">
        <v>25</v>
      </c>
      <c r="F644" t="s">
        <v>55</v>
      </c>
      <c r="G644" t="s">
        <v>39</v>
      </c>
      <c r="H644" t="s">
        <v>18</v>
      </c>
      <c r="I644" t="s">
        <v>18</v>
      </c>
      <c r="J644" t="s">
        <v>20</v>
      </c>
      <c r="K644" t="s">
        <v>21</v>
      </c>
      <c r="L644" t="s">
        <v>18</v>
      </c>
      <c r="M644">
        <v>0</v>
      </c>
      <c r="N644">
        <v>1</v>
      </c>
      <c r="O644" t="s">
        <v>41</v>
      </c>
      <c r="P644" t="s">
        <v>82</v>
      </c>
    </row>
    <row r="645" spans="1:16" x14ac:dyDescent="0.3">
      <c r="A645">
        <v>7901</v>
      </c>
      <c r="B645" t="s">
        <v>58</v>
      </c>
      <c r="C645" t="s">
        <v>390</v>
      </c>
      <c r="D645" s="6">
        <v>43203</v>
      </c>
      <c r="E645" t="s">
        <v>65</v>
      </c>
      <c r="F645" t="s">
        <v>60</v>
      </c>
      <c r="G645" t="s">
        <v>45</v>
      </c>
      <c r="H645" t="s">
        <v>50</v>
      </c>
      <c r="I645" t="s">
        <v>50</v>
      </c>
      <c r="J645" t="s">
        <v>20</v>
      </c>
      <c r="K645" t="s">
        <v>21</v>
      </c>
      <c r="L645" t="s">
        <v>50</v>
      </c>
      <c r="M645">
        <v>0</v>
      </c>
      <c r="N645">
        <v>4</v>
      </c>
      <c r="O645" t="s">
        <v>23</v>
      </c>
      <c r="P645" t="s">
        <v>75</v>
      </c>
    </row>
    <row r="646" spans="1:16" x14ac:dyDescent="0.3">
      <c r="A646">
        <v>7902</v>
      </c>
      <c r="B646" t="s">
        <v>15</v>
      </c>
      <c r="C646" t="s">
        <v>390</v>
      </c>
      <c r="D646" s="6">
        <v>43204</v>
      </c>
      <c r="E646" t="s">
        <v>96</v>
      </c>
      <c r="F646" t="s">
        <v>17</v>
      </c>
      <c r="G646" t="s">
        <v>39</v>
      </c>
      <c r="H646" t="s">
        <v>38</v>
      </c>
      <c r="I646" t="s">
        <v>38</v>
      </c>
      <c r="J646" t="s">
        <v>20</v>
      </c>
      <c r="K646" t="s">
        <v>21</v>
      </c>
      <c r="L646" t="s">
        <v>38</v>
      </c>
      <c r="M646">
        <v>0</v>
      </c>
      <c r="N646">
        <v>7</v>
      </c>
      <c r="O646" t="s">
        <v>72</v>
      </c>
      <c r="P646" t="s">
        <v>28</v>
      </c>
    </row>
    <row r="647" spans="1:16" x14ac:dyDescent="0.3">
      <c r="A647">
        <v>7903</v>
      </c>
      <c r="B647" t="s">
        <v>24</v>
      </c>
      <c r="C647" t="s">
        <v>390</v>
      </c>
      <c r="D647" s="6">
        <v>43204</v>
      </c>
      <c r="E647" t="s">
        <v>97</v>
      </c>
      <c r="F647" t="s">
        <v>26</v>
      </c>
      <c r="G647" t="s">
        <v>27</v>
      </c>
      <c r="H647" t="s">
        <v>18</v>
      </c>
      <c r="I647" t="s">
        <v>18</v>
      </c>
      <c r="J647" t="s">
        <v>20</v>
      </c>
      <c r="K647" t="s">
        <v>21</v>
      </c>
      <c r="L647" t="s">
        <v>18</v>
      </c>
      <c r="M647">
        <v>0</v>
      </c>
      <c r="N647">
        <v>5</v>
      </c>
      <c r="O647" t="s">
        <v>81</v>
      </c>
      <c r="P647" t="s">
        <v>32</v>
      </c>
    </row>
    <row r="648" spans="1:16" x14ac:dyDescent="0.3">
      <c r="A648">
        <v>7904</v>
      </c>
      <c r="B648" t="s">
        <v>58</v>
      </c>
      <c r="C648" t="s">
        <v>390</v>
      </c>
      <c r="D648" s="6">
        <v>43205</v>
      </c>
      <c r="E648" t="s">
        <v>95</v>
      </c>
      <c r="F648" t="s">
        <v>60</v>
      </c>
      <c r="G648" t="s">
        <v>31</v>
      </c>
      <c r="H648" t="s">
        <v>50</v>
      </c>
      <c r="I648" t="s">
        <v>50</v>
      </c>
      <c r="J648" t="s">
        <v>20</v>
      </c>
      <c r="K648" t="s">
        <v>21</v>
      </c>
      <c r="L648" t="s">
        <v>31</v>
      </c>
      <c r="M648">
        <v>19</v>
      </c>
      <c r="N648">
        <v>0</v>
      </c>
      <c r="O648" t="s">
        <v>34</v>
      </c>
      <c r="P648" t="s">
        <v>23</v>
      </c>
    </row>
    <row r="649" spans="1:16" x14ac:dyDescent="0.3">
      <c r="A649">
        <v>7905</v>
      </c>
      <c r="B649" t="s">
        <v>91</v>
      </c>
      <c r="C649" t="s">
        <v>390</v>
      </c>
      <c r="D649" s="6">
        <v>43205</v>
      </c>
      <c r="E649" t="s">
        <v>92</v>
      </c>
      <c r="F649" t="s">
        <v>93</v>
      </c>
      <c r="G649" t="s">
        <v>45</v>
      </c>
      <c r="H649" t="s">
        <v>19</v>
      </c>
      <c r="I649" t="s">
        <v>19</v>
      </c>
      <c r="J649" t="s">
        <v>20</v>
      </c>
      <c r="K649" t="s">
        <v>21</v>
      </c>
      <c r="L649" t="s">
        <v>45</v>
      </c>
      <c r="M649">
        <v>4</v>
      </c>
      <c r="N649">
        <v>0</v>
      </c>
      <c r="O649" t="s">
        <v>57</v>
      </c>
      <c r="P649" t="s">
        <v>41</v>
      </c>
    </row>
    <row r="650" spans="1:16" x14ac:dyDescent="0.3">
      <c r="A650">
        <v>7906</v>
      </c>
      <c r="B650" t="s">
        <v>24</v>
      </c>
      <c r="C650" t="s">
        <v>390</v>
      </c>
      <c r="D650" s="6">
        <v>43206</v>
      </c>
      <c r="E650" t="s">
        <v>94</v>
      </c>
      <c r="F650" t="s">
        <v>26</v>
      </c>
      <c r="G650" t="s">
        <v>27</v>
      </c>
      <c r="H650" t="s">
        <v>38</v>
      </c>
      <c r="I650" t="s">
        <v>38</v>
      </c>
      <c r="J650" t="s">
        <v>20</v>
      </c>
      <c r="K650" t="s">
        <v>21</v>
      </c>
      <c r="L650" t="s">
        <v>27</v>
      </c>
      <c r="M650">
        <v>71</v>
      </c>
      <c r="N650">
        <v>0</v>
      </c>
      <c r="O650" t="s">
        <v>32</v>
      </c>
      <c r="P650" t="s">
        <v>81</v>
      </c>
    </row>
    <row r="651" spans="1:16" x14ac:dyDescent="0.3">
      <c r="A651">
        <v>7907</v>
      </c>
      <c r="B651" t="s">
        <v>15</v>
      </c>
      <c r="C651" t="s">
        <v>390</v>
      </c>
      <c r="D651" s="6">
        <v>43207</v>
      </c>
      <c r="E651" t="s">
        <v>83</v>
      </c>
      <c r="F651" t="s">
        <v>17</v>
      </c>
      <c r="G651" t="s">
        <v>39</v>
      </c>
      <c r="H651" t="s">
        <v>50</v>
      </c>
      <c r="I651" t="s">
        <v>50</v>
      </c>
      <c r="J651" t="s">
        <v>20</v>
      </c>
      <c r="K651" t="s">
        <v>21</v>
      </c>
      <c r="L651" t="s">
        <v>39</v>
      </c>
      <c r="M651">
        <v>46</v>
      </c>
      <c r="N651">
        <v>0</v>
      </c>
      <c r="O651" t="s">
        <v>89</v>
      </c>
      <c r="P651" t="s">
        <v>28</v>
      </c>
    </row>
    <row r="652" spans="1:16" x14ac:dyDescent="0.3">
      <c r="A652">
        <v>7908</v>
      </c>
      <c r="B652" t="s">
        <v>47</v>
      </c>
      <c r="C652" t="s">
        <v>390</v>
      </c>
      <c r="D652" s="6">
        <v>43208</v>
      </c>
      <c r="E652" t="s">
        <v>94</v>
      </c>
      <c r="F652" t="s">
        <v>49</v>
      </c>
      <c r="G652" t="s">
        <v>31</v>
      </c>
      <c r="H652" t="s">
        <v>27</v>
      </c>
      <c r="I652" t="s">
        <v>27</v>
      </c>
      <c r="J652" t="s">
        <v>20</v>
      </c>
      <c r="K652" t="s">
        <v>21</v>
      </c>
      <c r="L652" t="s">
        <v>27</v>
      </c>
      <c r="M652">
        <v>0</v>
      </c>
      <c r="N652">
        <v>7</v>
      </c>
      <c r="O652" t="s">
        <v>23</v>
      </c>
      <c r="P652" t="s">
        <v>75</v>
      </c>
    </row>
    <row r="653" spans="1:16" x14ac:dyDescent="0.3">
      <c r="A653">
        <v>7909</v>
      </c>
      <c r="B653" t="s">
        <v>91</v>
      </c>
      <c r="C653" t="s">
        <v>390</v>
      </c>
      <c r="D653" s="6">
        <v>43209</v>
      </c>
      <c r="E653" t="s">
        <v>92</v>
      </c>
      <c r="F653" t="s">
        <v>93</v>
      </c>
      <c r="G653" t="s">
        <v>45</v>
      </c>
      <c r="H653" t="s">
        <v>18</v>
      </c>
      <c r="I653" t="s">
        <v>45</v>
      </c>
      <c r="J653" t="s">
        <v>40</v>
      </c>
      <c r="K653" t="s">
        <v>21</v>
      </c>
      <c r="L653" t="s">
        <v>45</v>
      </c>
      <c r="M653">
        <v>15</v>
      </c>
      <c r="N653">
        <v>0</v>
      </c>
      <c r="O653" t="s">
        <v>82</v>
      </c>
      <c r="P653" t="s">
        <v>32</v>
      </c>
    </row>
    <row r="654" spans="1:16" x14ac:dyDescent="0.3">
      <c r="A654">
        <v>7910</v>
      </c>
      <c r="B654" t="s">
        <v>42</v>
      </c>
      <c r="C654" t="s">
        <v>390</v>
      </c>
      <c r="D654" s="6">
        <v>43210</v>
      </c>
      <c r="E654" t="s">
        <v>16</v>
      </c>
      <c r="F654" t="s">
        <v>44</v>
      </c>
      <c r="G654" t="s">
        <v>19</v>
      </c>
      <c r="H654" t="s">
        <v>31</v>
      </c>
      <c r="I654" t="s">
        <v>31</v>
      </c>
      <c r="J654" t="s">
        <v>20</v>
      </c>
      <c r="K654" t="s">
        <v>21</v>
      </c>
      <c r="L654" t="s">
        <v>19</v>
      </c>
      <c r="M654">
        <v>64</v>
      </c>
      <c r="N654">
        <v>0</v>
      </c>
      <c r="O654" t="s">
        <v>28</v>
      </c>
      <c r="P654" t="s">
        <v>72</v>
      </c>
    </row>
    <row r="655" spans="1:16" x14ac:dyDescent="0.3">
      <c r="A655">
        <v>7911</v>
      </c>
      <c r="B655" t="s">
        <v>24</v>
      </c>
      <c r="C655" t="s">
        <v>390</v>
      </c>
      <c r="D655" s="6">
        <v>43211</v>
      </c>
      <c r="E655" t="s">
        <v>90</v>
      </c>
      <c r="F655" t="s">
        <v>26</v>
      </c>
      <c r="G655" t="s">
        <v>27</v>
      </c>
      <c r="H655" t="s">
        <v>45</v>
      </c>
      <c r="I655" t="s">
        <v>45</v>
      </c>
      <c r="J655" t="s">
        <v>20</v>
      </c>
      <c r="K655" t="s">
        <v>21</v>
      </c>
      <c r="L655" t="s">
        <v>45</v>
      </c>
      <c r="M655">
        <v>0</v>
      </c>
      <c r="N655">
        <v>9</v>
      </c>
      <c r="O655" t="s">
        <v>34</v>
      </c>
      <c r="P655" t="s">
        <v>75</v>
      </c>
    </row>
    <row r="656" spans="1:16" x14ac:dyDescent="0.3">
      <c r="A656">
        <v>7912</v>
      </c>
      <c r="B656" t="s">
        <v>58</v>
      </c>
      <c r="C656" t="s">
        <v>390</v>
      </c>
      <c r="D656" s="6">
        <v>43211</v>
      </c>
      <c r="E656" t="s">
        <v>59</v>
      </c>
      <c r="F656" t="s">
        <v>60</v>
      </c>
      <c r="G656" t="s">
        <v>38</v>
      </c>
      <c r="H656" t="s">
        <v>50</v>
      </c>
      <c r="I656" t="s">
        <v>50</v>
      </c>
      <c r="J656" t="s">
        <v>20</v>
      </c>
      <c r="K656" t="s">
        <v>21</v>
      </c>
      <c r="L656" t="s">
        <v>50</v>
      </c>
      <c r="M656">
        <v>0</v>
      </c>
      <c r="N656">
        <v>6</v>
      </c>
      <c r="O656" t="s">
        <v>84</v>
      </c>
      <c r="P656" t="s">
        <v>41</v>
      </c>
    </row>
    <row r="657" spans="1:16" x14ac:dyDescent="0.3">
      <c r="A657">
        <v>7913</v>
      </c>
      <c r="B657" t="s">
        <v>53</v>
      </c>
      <c r="C657" t="s">
        <v>390</v>
      </c>
      <c r="D657" s="6">
        <v>43212</v>
      </c>
      <c r="E657" t="s">
        <v>67</v>
      </c>
      <c r="F657" t="s">
        <v>55</v>
      </c>
      <c r="G657" t="s">
        <v>19</v>
      </c>
      <c r="H657" t="s">
        <v>18</v>
      </c>
      <c r="I657" t="s">
        <v>18</v>
      </c>
      <c r="J657" t="s">
        <v>20</v>
      </c>
      <c r="K657" t="s">
        <v>21</v>
      </c>
      <c r="L657" t="s">
        <v>19</v>
      </c>
      <c r="M657">
        <v>4</v>
      </c>
      <c r="N657">
        <v>0</v>
      </c>
      <c r="O657" t="s">
        <v>32</v>
      </c>
      <c r="P657" t="s">
        <v>57</v>
      </c>
    </row>
    <row r="658" spans="1:16" x14ac:dyDescent="0.3">
      <c r="A658">
        <v>7914</v>
      </c>
      <c r="B658" t="s">
        <v>47</v>
      </c>
      <c r="C658" t="s">
        <v>390</v>
      </c>
      <c r="D658" s="6">
        <v>43212</v>
      </c>
      <c r="E658" t="s">
        <v>88</v>
      </c>
      <c r="F658" t="s">
        <v>49</v>
      </c>
      <c r="G658" t="s">
        <v>39</v>
      </c>
      <c r="H658" t="s">
        <v>31</v>
      </c>
      <c r="I658" t="s">
        <v>39</v>
      </c>
      <c r="J658" t="s">
        <v>40</v>
      </c>
      <c r="K658" t="s">
        <v>21</v>
      </c>
      <c r="L658" t="s">
        <v>31</v>
      </c>
      <c r="M658">
        <v>0</v>
      </c>
      <c r="N658">
        <v>3</v>
      </c>
      <c r="O658" t="s">
        <v>89</v>
      </c>
      <c r="P658" t="s">
        <v>72</v>
      </c>
    </row>
    <row r="659" spans="1:16" x14ac:dyDescent="0.3">
      <c r="A659">
        <v>7915</v>
      </c>
      <c r="B659" t="s">
        <v>35</v>
      </c>
      <c r="C659" t="s">
        <v>390</v>
      </c>
      <c r="D659" s="6">
        <v>43213</v>
      </c>
      <c r="E659" t="s">
        <v>86</v>
      </c>
      <c r="F659" t="s">
        <v>37</v>
      </c>
      <c r="G659" t="s">
        <v>45</v>
      </c>
      <c r="H659" t="s">
        <v>38</v>
      </c>
      <c r="I659" t="s">
        <v>38</v>
      </c>
      <c r="J659" t="s">
        <v>20</v>
      </c>
      <c r="K659" t="s">
        <v>21</v>
      </c>
      <c r="L659" t="s">
        <v>45</v>
      </c>
      <c r="M659">
        <v>4</v>
      </c>
      <c r="N659">
        <v>0</v>
      </c>
      <c r="O659" t="s">
        <v>41</v>
      </c>
      <c r="P659" t="s">
        <v>81</v>
      </c>
    </row>
    <row r="660" spans="1:16" x14ac:dyDescent="0.3">
      <c r="A660">
        <v>7916</v>
      </c>
      <c r="B660" t="s">
        <v>15</v>
      </c>
      <c r="C660" t="s">
        <v>390</v>
      </c>
      <c r="D660" s="6">
        <v>43214</v>
      </c>
      <c r="E660" t="s">
        <v>25</v>
      </c>
      <c r="F660" t="s">
        <v>17</v>
      </c>
      <c r="G660" t="s">
        <v>18</v>
      </c>
      <c r="H660" t="s">
        <v>39</v>
      </c>
      <c r="I660" t="s">
        <v>39</v>
      </c>
      <c r="J660" t="s">
        <v>20</v>
      </c>
      <c r="K660" t="s">
        <v>21</v>
      </c>
      <c r="L660" t="s">
        <v>18</v>
      </c>
      <c r="M660">
        <v>31</v>
      </c>
      <c r="N660">
        <v>0</v>
      </c>
      <c r="O660" t="s">
        <v>34</v>
      </c>
      <c r="P660" t="s">
        <v>23</v>
      </c>
    </row>
    <row r="661" spans="1:16" x14ac:dyDescent="0.3">
      <c r="A661">
        <v>7917</v>
      </c>
      <c r="B661" t="s">
        <v>58</v>
      </c>
      <c r="C661" t="s">
        <v>390</v>
      </c>
      <c r="D661" s="6">
        <v>43215</v>
      </c>
      <c r="E661" t="s">
        <v>87</v>
      </c>
      <c r="F661" t="s">
        <v>60</v>
      </c>
      <c r="G661" t="s">
        <v>50</v>
      </c>
      <c r="H661" t="s">
        <v>19</v>
      </c>
      <c r="I661" t="s">
        <v>19</v>
      </c>
      <c r="J661" t="s">
        <v>20</v>
      </c>
      <c r="K661" t="s">
        <v>21</v>
      </c>
      <c r="L661" t="s">
        <v>19</v>
      </c>
      <c r="M661">
        <v>0</v>
      </c>
      <c r="N661">
        <v>5</v>
      </c>
      <c r="O661" t="s">
        <v>82</v>
      </c>
      <c r="P661" t="s">
        <v>52</v>
      </c>
    </row>
    <row r="662" spans="1:16" x14ac:dyDescent="0.3">
      <c r="A662">
        <v>7918</v>
      </c>
      <c r="B662" t="s">
        <v>53</v>
      </c>
      <c r="C662" t="s">
        <v>390</v>
      </c>
      <c r="D662" s="6">
        <v>43216</v>
      </c>
      <c r="E662" t="s">
        <v>86</v>
      </c>
      <c r="F662" t="s">
        <v>55</v>
      </c>
      <c r="G662" t="s">
        <v>18</v>
      </c>
      <c r="H662" t="s">
        <v>45</v>
      </c>
      <c r="I662" t="s">
        <v>45</v>
      </c>
      <c r="J662" t="s">
        <v>20</v>
      </c>
      <c r="K662" t="s">
        <v>21</v>
      </c>
      <c r="L662" t="s">
        <v>18</v>
      </c>
      <c r="M662">
        <v>13</v>
      </c>
      <c r="N662">
        <v>0</v>
      </c>
      <c r="O662" t="s">
        <v>41</v>
      </c>
      <c r="P662" t="s">
        <v>46</v>
      </c>
    </row>
    <row r="663" spans="1:16" x14ac:dyDescent="0.3">
      <c r="A663">
        <v>7919</v>
      </c>
      <c r="B663" t="s">
        <v>35</v>
      </c>
      <c r="C663" t="s">
        <v>390</v>
      </c>
      <c r="D663" s="6">
        <v>43217</v>
      </c>
      <c r="E663" t="s">
        <v>85</v>
      </c>
      <c r="F663" t="s">
        <v>37</v>
      </c>
      <c r="G663" t="s">
        <v>38</v>
      </c>
      <c r="H663" t="s">
        <v>27</v>
      </c>
      <c r="I663" t="s">
        <v>27</v>
      </c>
      <c r="J663" t="s">
        <v>20</v>
      </c>
      <c r="K663" t="s">
        <v>21</v>
      </c>
      <c r="L663" t="s">
        <v>38</v>
      </c>
      <c r="M663">
        <v>55</v>
      </c>
      <c r="N663">
        <v>0</v>
      </c>
      <c r="O663" t="s">
        <v>34</v>
      </c>
      <c r="P663" t="s">
        <v>23</v>
      </c>
    </row>
    <row r="664" spans="1:16" x14ac:dyDescent="0.3">
      <c r="A664">
        <v>7920</v>
      </c>
      <c r="B664" t="s">
        <v>42</v>
      </c>
      <c r="C664" t="s">
        <v>390</v>
      </c>
      <c r="D664" s="6">
        <v>43218</v>
      </c>
      <c r="E664" t="s">
        <v>83</v>
      </c>
      <c r="F664" t="s">
        <v>44</v>
      </c>
      <c r="G664" t="s">
        <v>19</v>
      </c>
      <c r="H664" t="s">
        <v>39</v>
      </c>
      <c r="I664" t="s">
        <v>39</v>
      </c>
      <c r="J664" t="s">
        <v>20</v>
      </c>
      <c r="K664" t="s">
        <v>21</v>
      </c>
      <c r="L664" t="s">
        <v>39</v>
      </c>
      <c r="M664">
        <v>0</v>
      </c>
      <c r="N664">
        <v>8</v>
      </c>
      <c r="O664" t="s">
        <v>84</v>
      </c>
      <c r="P664" t="s">
        <v>28</v>
      </c>
    </row>
    <row r="665" spans="1:16" x14ac:dyDescent="0.3">
      <c r="A665">
        <v>7921</v>
      </c>
      <c r="B665" t="s">
        <v>47</v>
      </c>
      <c r="C665" t="s">
        <v>390</v>
      </c>
      <c r="D665" s="6">
        <v>43219</v>
      </c>
      <c r="E665" t="s">
        <v>73</v>
      </c>
      <c r="F665" t="s">
        <v>49</v>
      </c>
      <c r="G665" t="s">
        <v>18</v>
      </c>
      <c r="H665" t="s">
        <v>31</v>
      </c>
      <c r="I665" t="s">
        <v>18</v>
      </c>
      <c r="J665" t="s">
        <v>40</v>
      </c>
      <c r="K665" t="s">
        <v>21</v>
      </c>
      <c r="L665" t="s">
        <v>18</v>
      </c>
      <c r="M665">
        <v>11</v>
      </c>
      <c r="N665">
        <v>0</v>
      </c>
      <c r="O665" t="s">
        <v>51</v>
      </c>
      <c r="P665" t="s">
        <v>81</v>
      </c>
    </row>
    <row r="666" spans="1:16" x14ac:dyDescent="0.3">
      <c r="A666">
        <v>7922</v>
      </c>
      <c r="B666" t="s">
        <v>58</v>
      </c>
      <c r="C666" t="s">
        <v>390</v>
      </c>
      <c r="D666" s="6">
        <v>43219</v>
      </c>
      <c r="E666" t="s">
        <v>54</v>
      </c>
      <c r="F666" t="s">
        <v>60</v>
      </c>
      <c r="G666" t="s">
        <v>50</v>
      </c>
      <c r="H666" t="s">
        <v>27</v>
      </c>
      <c r="I666" t="s">
        <v>27</v>
      </c>
      <c r="J666" t="s">
        <v>20</v>
      </c>
      <c r="K666" t="s">
        <v>21</v>
      </c>
      <c r="L666" t="s">
        <v>27</v>
      </c>
      <c r="M666">
        <v>0</v>
      </c>
      <c r="N666">
        <v>6</v>
      </c>
      <c r="O666" t="s">
        <v>82</v>
      </c>
      <c r="P666" t="s">
        <v>32</v>
      </c>
    </row>
    <row r="667" spans="1:16" x14ac:dyDescent="0.3">
      <c r="A667">
        <v>7923</v>
      </c>
      <c r="B667" t="s">
        <v>42</v>
      </c>
      <c r="C667" t="s">
        <v>390</v>
      </c>
      <c r="D667" s="6">
        <v>43220</v>
      </c>
      <c r="E667" t="s">
        <v>16</v>
      </c>
      <c r="F667" t="s">
        <v>44</v>
      </c>
      <c r="G667" t="s">
        <v>19</v>
      </c>
      <c r="H667" t="s">
        <v>38</v>
      </c>
      <c r="I667" t="s">
        <v>38</v>
      </c>
      <c r="J667" t="s">
        <v>20</v>
      </c>
      <c r="K667" t="s">
        <v>21</v>
      </c>
      <c r="L667" t="s">
        <v>19</v>
      </c>
      <c r="M667">
        <v>13</v>
      </c>
      <c r="N667">
        <v>0</v>
      </c>
      <c r="O667" t="s">
        <v>34</v>
      </c>
      <c r="P667" t="s">
        <v>61</v>
      </c>
    </row>
    <row r="668" spans="1:16" x14ac:dyDescent="0.3">
      <c r="A668">
        <v>7924</v>
      </c>
      <c r="B668" t="s">
        <v>58</v>
      </c>
      <c r="C668" t="s">
        <v>390</v>
      </c>
      <c r="D668" s="6">
        <v>43221</v>
      </c>
      <c r="E668" t="s">
        <v>80</v>
      </c>
      <c r="F668" t="s">
        <v>60</v>
      </c>
      <c r="G668" t="s">
        <v>50</v>
      </c>
      <c r="H668" t="s">
        <v>39</v>
      </c>
      <c r="I668" t="s">
        <v>39</v>
      </c>
      <c r="J668" t="s">
        <v>20</v>
      </c>
      <c r="K668" t="s">
        <v>21</v>
      </c>
      <c r="L668" t="s">
        <v>50</v>
      </c>
      <c r="M668">
        <v>14</v>
      </c>
      <c r="N668">
        <v>0</v>
      </c>
      <c r="O668" t="s">
        <v>22</v>
      </c>
      <c r="P668" t="s">
        <v>28</v>
      </c>
    </row>
    <row r="669" spans="1:16" x14ac:dyDescent="0.3">
      <c r="A669">
        <v>7925</v>
      </c>
      <c r="B669" t="s">
        <v>35</v>
      </c>
      <c r="C669" t="s">
        <v>390</v>
      </c>
      <c r="D669" s="6">
        <v>43222</v>
      </c>
      <c r="E669" t="s">
        <v>79</v>
      </c>
      <c r="F669" t="s">
        <v>37</v>
      </c>
      <c r="G669" t="s">
        <v>38</v>
      </c>
      <c r="H669" t="s">
        <v>31</v>
      </c>
      <c r="I669" t="s">
        <v>31</v>
      </c>
      <c r="J669" t="s">
        <v>20</v>
      </c>
      <c r="K669" t="s">
        <v>21</v>
      </c>
      <c r="L669" t="s">
        <v>38</v>
      </c>
      <c r="M669">
        <v>4</v>
      </c>
      <c r="N669">
        <v>0</v>
      </c>
      <c r="O669" t="s">
        <v>41</v>
      </c>
      <c r="P669" t="s">
        <v>52</v>
      </c>
    </row>
    <row r="670" spans="1:16" x14ac:dyDescent="0.3">
      <c r="A670">
        <v>7926</v>
      </c>
      <c r="B670" t="s">
        <v>24</v>
      </c>
      <c r="C670" t="s">
        <v>390</v>
      </c>
      <c r="D670" s="6">
        <v>43223</v>
      </c>
      <c r="E670" t="s">
        <v>69</v>
      </c>
      <c r="F670" t="s">
        <v>26</v>
      </c>
      <c r="G670" t="s">
        <v>19</v>
      </c>
      <c r="H670" t="s">
        <v>27</v>
      </c>
      <c r="I670" t="s">
        <v>27</v>
      </c>
      <c r="J670" t="s">
        <v>20</v>
      </c>
      <c r="K670" t="s">
        <v>21</v>
      </c>
      <c r="L670" t="s">
        <v>27</v>
      </c>
      <c r="M670">
        <v>0</v>
      </c>
      <c r="N670">
        <v>6</v>
      </c>
      <c r="O670" t="s">
        <v>29</v>
      </c>
      <c r="P670" t="s">
        <v>75</v>
      </c>
    </row>
    <row r="671" spans="1:16" x14ac:dyDescent="0.3">
      <c r="A671">
        <v>7927</v>
      </c>
      <c r="B671" t="s">
        <v>64</v>
      </c>
      <c r="C671" t="s">
        <v>390</v>
      </c>
      <c r="D671" s="6">
        <v>43224</v>
      </c>
      <c r="E671" t="s">
        <v>78</v>
      </c>
      <c r="F671" t="s">
        <v>66</v>
      </c>
      <c r="G671" t="s">
        <v>45</v>
      </c>
      <c r="H671" t="s">
        <v>39</v>
      </c>
      <c r="I671" t="s">
        <v>39</v>
      </c>
      <c r="J671" t="s">
        <v>20</v>
      </c>
      <c r="K671" t="s">
        <v>21</v>
      </c>
      <c r="L671" t="s">
        <v>39</v>
      </c>
      <c r="M671">
        <v>0</v>
      </c>
      <c r="N671">
        <v>6</v>
      </c>
      <c r="O671" t="s">
        <v>23</v>
      </c>
      <c r="P671" t="s">
        <v>61</v>
      </c>
    </row>
    <row r="672" spans="1:16" x14ac:dyDescent="0.3">
      <c r="A672">
        <v>7928</v>
      </c>
      <c r="B672" t="s">
        <v>42</v>
      </c>
      <c r="C672" t="s">
        <v>390</v>
      </c>
      <c r="D672" s="6">
        <v>43225</v>
      </c>
      <c r="E672" t="s">
        <v>77</v>
      </c>
      <c r="F672" t="s">
        <v>44</v>
      </c>
      <c r="G672" t="s">
        <v>50</v>
      </c>
      <c r="H672" t="s">
        <v>19</v>
      </c>
      <c r="I672" t="s">
        <v>19</v>
      </c>
      <c r="J672" t="s">
        <v>20</v>
      </c>
      <c r="K672" t="s">
        <v>21</v>
      </c>
      <c r="L672" t="s">
        <v>19</v>
      </c>
      <c r="M672">
        <v>0</v>
      </c>
      <c r="N672">
        <v>6</v>
      </c>
      <c r="O672" t="s">
        <v>28</v>
      </c>
      <c r="P672" t="s">
        <v>46</v>
      </c>
    </row>
    <row r="673" spans="1:16" x14ac:dyDescent="0.3">
      <c r="A673">
        <v>7929</v>
      </c>
      <c r="B673" t="s">
        <v>53</v>
      </c>
      <c r="C673" t="s">
        <v>390</v>
      </c>
      <c r="D673" s="6">
        <v>43225</v>
      </c>
      <c r="E673" t="s">
        <v>25</v>
      </c>
      <c r="F673" t="s">
        <v>55</v>
      </c>
      <c r="G673" t="s">
        <v>38</v>
      </c>
      <c r="H673" t="s">
        <v>18</v>
      </c>
      <c r="I673" t="s">
        <v>38</v>
      </c>
      <c r="J673" t="s">
        <v>40</v>
      </c>
      <c r="K673" t="s">
        <v>21</v>
      </c>
      <c r="L673" t="s">
        <v>18</v>
      </c>
      <c r="M673">
        <v>0</v>
      </c>
      <c r="N673">
        <v>7</v>
      </c>
      <c r="O673" t="s">
        <v>51</v>
      </c>
      <c r="P673" t="s">
        <v>41</v>
      </c>
    </row>
    <row r="674" spans="1:16" x14ac:dyDescent="0.3">
      <c r="A674">
        <v>7930</v>
      </c>
      <c r="B674" t="s">
        <v>15</v>
      </c>
      <c r="C674" t="s">
        <v>390</v>
      </c>
      <c r="D674" s="6">
        <v>43226</v>
      </c>
      <c r="E674" t="s">
        <v>74</v>
      </c>
      <c r="F674" t="s">
        <v>17</v>
      </c>
      <c r="G674" t="s">
        <v>39</v>
      </c>
      <c r="H674" t="s">
        <v>27</v>
      </c>
      <c r="I674" t="s">
        <v>27</v>
      </c>
      <c r="J674" t="s">
        <v>20</v>
      </c>
      <c r="K674" t="s">
        <v>21</v>
      </c>
      <c r="L674" t="s">
        <v>39</v>
      </c>
      <c r="M674">
        <v>13</v>
      </c>
      <c r="N674">
        <v>0</v>
      </c>
      <c r="O674" t="s">
        <v>29</v>
      </c>
      <c r="P674" t="s">
        <v>75</v>
      </c>
    </row>
    <row r="675" spans="1:16" x14ac:dyDescent="0.3">
      <c r="A675">
        <v>7931</v>
      </c>
      <c r="B675" t="s">
        <v>64</v>
      </c>
      <c r="C675" t="s">
        <v>390</v>
      </c>
      <c r="D675" s="6">
        <v>43226</v>
      </c>
      <c r="E675" t="s">
        <v>76</v>
      </c>
      <c r="F675" t="s">
        <v>66</v>
      </c>
      <c r="G675" t="s">
        <v>31</v>
      </c>
      <c r="H675" t="s">
        <v>45</v>
      </c>
      <c r="I675" t="s">
        <v>45</v>
      </c>
      <c r="J675" t="s">
        <v>20</v>
      </c>
      <c r="K675" t="s">
        <v>21</v>
      </c>
      <c r="L675" t="s">
        <v>45</v>
      </c>
      <c r="M675">
        <v>0</v>
      </c>
      <c r="N675">
        <v>6</v>
      </c>
      <c r="O675" t="s">
        <v>34</v>
      </c>
      <c r="P675" t="s">
        <v>23</v>
      </c>
    </row>
    <row r="676" spans="1:16" x14ac:dyDescent="0.3">
      <c r="A676">
        <v>7932</v>
      </c>
      <c r="B676" t="s">
        <v>53</v>
      </c>
      <c r="C676" t="s">
        <v>390</v>
      </c>
      <c r="D676" s="6">
        <v>43227</v>
      </c>
      <c r="E676" t="s">
        <v>73</v>
      </c>
      <c r="F676" t="s">
        <v>55</v>
      </c>
      <c r="G676" t="s">
        <v>18</v>
      </c>
      <c r="H676" t="s">
        <v>50</v>
      </c>
      <c r="I676" t="s">
        <v>50</v>
      </c>
      <c r="J676" t="s">
        <v>20</v>
      </c>
      <c r="K676" t="s">
        <v>21</v>
      </c>
      <c r="L676" t="s">
        <v>18</v>
      </c>
      <c r="M676">
        <v>5</v>
      </c>
      <c r="N676">
        <v>0</v>
      </c>
      <c r="O676" t="s">
        <v>51</v>
      </c>
      <c r="P676" t="s">
        <v>52</v>
      </c>
    </row>
    <row r="677" spans="1:16" x14ac:dyDescent="0.3">
      <c r="A677">
        <v>7933</v>
      </c>
      <c r="B677" t="s">
        <v>47</v>
      </c>
      <c r="C677" t="s">
        <v>390</v>
      </c>
      <c r="D677" s="6">
        <v>43228</v>
      </c>
      <c r="E677" t="s">
        <v>68</v>
      </c>
      <c r="F677" t="s">
        <v>49</v>
      </c>
      <c r="G677" t="s">
        <v>31</v>
      </c>
      <c r="H677" t="s">
        <v>45</v>
      </c>
      <c r="I677" t="s">
        <v>31</v>
      </c>
      <c r="J677" t="s">
        <v>40</v>
      </c>
      <c r="K677" t="s">
        <v>21</v>
      </c>
      <c r="L677" t="s">
        <v>31</v>
      </c>
      <c r="M677">
        <v>15</v>
      </c>
      <c r="N677">
        <v>0</v>
      </c>
      <c r="O677" t="s">
        <v>22</v>
      </c>
      <c r="P677" t="s">
        <v>28</v>
      </c>
    </row>
    <row r="678" spans="1:16" x14ac:dyDescent="0.3">
      <c r="A678">
        <v>7934</v>
      </c>
      <c r="B678" t="s">
        <v>24</v>
      </c>
      <c r="C678" t="s">
        <v>390</v>
      </c>
      <c r="D678" s="6">
        <v>43229</v>
      </c>
      <c r="E678" t="s">
        <v>71</v>
      </c>
      <c r="F678" t="s">
        <v>26</v>
      </c>
      <c r="G678" t="s">
        <v>39</v>
      </c>
      <c r="H678" t="s">
        <v>27</v>
      </c>
      <c r="I678" t="s">
        <v>27</v>
      </c>
      <c r="J678" t="s">
        <v>20</v>
      </c>
      <c r="K678" t="s">
        <v>21</v>
      </c>
      <c r="L678" t="s">
        <v>39</v>
      </c>
      <c r="M678">
        <v>102</v>
      </c>
      <c r="N678">
        <v>0</v>
      </c>
      <c r="O678" t="s">
        <v>32</v>
      </c>
      <c r="P678" t="s">
        <v>72</v>
      </c>
    </row>
    <row r="679" spans="1:16" x14ac:dyDescent="0.3">
      <c r="A679">
        <v>7935</v>
      </c>
      <c r="B679" t="s">
        <v>35</v>
      </c>
      <c r="C679" t="s">
        <v>390</v>
      </c>
      <c r="D679" s="6">
        <v>43230</v>
      </c>
      <c r="E679" t="s">
        <v>70</v>
      </c>
      <c r="F679" t="s">
        <v>37</v>
      </c>
      <c r="G679" t="s">
        <v>38</v>
      </c>
      <c r="H679" t="s">
        <v>18</v>
      </c>
      <c r="I679" t="s">
        <v>38</v>
      </c>
      <c r="J679" t="s">
        <v>40</v>
      </c>
      <c r="K679" t="s">
        <v>21</v>
      </c>
      <c r="L679" t="s">
        <v>18</v>
      </c>
      <c r="M679">
        <v>0</v>
      </c>
      <c r="N679">
        <v>9</v>
      </c>
      <c r="O679" t="s">
        <v>34</v>
      </c>
      <c r="P679" t="s">
        <v>61</v>
      </c>
    </row>
    <row r="680" spans="1:16" x14ac:dyDescent="0.3">
      <c r="A680">
        <v>7936</v>
      </c>
      <c r="B680" t="s">
        <v>47</v>
      </c>
      <c r="C680" t="s">
        <v>390</v>
      </c>
      <c r="D680" s="6">
        <v>43231</v>
      </c>
      <c r="E680" t="s">
        <v>68</v>
      </c>
      <c r="F680" t="s">
        <v>49</v>
      </c>
      <c r="G680" t="s">
        <v>19</v>
      </c>
      <c r="H680" t="s">
        <v>31</v>
      </c>
      <c r="I680" t="s">
        <v>19</v>
      </c>
      <c r="J680" t="s">
        <v>40</v>
      </c>
      <c r="K680" t="s">
        <v>21</v>
      </c>
      <c r="L680" t="s">
        <v>31</v>
      </c>
      <c r="M680">
        <v>0</v>
      </c>
      <c r="N680">
        <v>4</v>
      </c>
      <c r="O680" t="s">
        <v>22</v>
      </c>
      <c r="P680" t="s">
        <v>46</v>
      </c>
    </row>
    <row r="681" spans="1:16" x14ac:dyDescent="0.3">
      <c r="A681">
        <v>7937</v>
      </c>
      <c r="B681" t="s">
        <v>64</v>
      </c>
      <c r="C681" t="s">
        <v>390</v>
      </c>
      <c r="D681" s="6">
        <v>43232</v>
      </c>
      <c r="E681" t="s">
        <v>69</v>
      </c>
      <c r="F681" t="s">
        <v>66</v>
      </c>
      <c r="G681" t="s">
        <v>27</v>
      </c>
      <c r="H681" t="s">
        <v>45</v>
      </c>
      <c r="I681" t="s">
        <v>45</v>
      </c>
      <c r="J681" t="s">
        <v>20</v>
      </c>
      <c r="K681" t="s">
        <v>21</v>
      </c>
      <c r="L681" t="s">
        <v>27</v>
      </c>
      <c r="M681">
        <v>31</v>
      </c>
      <c r="N681">
        <v>0</v>
      </c>
      <c r="O681" t="s">
        <v>41</v>
      </c>
      <c r="P681" t="s">
        <v>52</v>
      </c>
    </row>
    <row r="682" spans="1:16" x14ac:dyDescent="0.3">
      <c r="A682">
        <v>7938</v>
      </c>
      <c r="B682" t="s">
        <v>35</v>
      </c>
      <c r="C682" t="s">
        <v>390</v>
      </c>
      <c r="D682" s="6">
        <v>43232</v>
      </c>
      <c r="E682" t="s">
        <v>59</v>
      </c>
      <c r="F682" t="s">
        <v>37</v>
      </c>
      <c r="G682" t="s">
        <v>38</v>
      </c>
      <c r="H682" t="s">
        <v>50</v>
      </c>
      <c r="I682" t="s">
        <v>50</v>
      </c>
      <c r="J682" t="s">
        <v>20</v>
      </c>
      <c r="K682" t="s">
        <v>21</v>
      </c>
      <c r="L682" t="s">
        <v>50</v>
      </c>
      <c r="M682">
        <v>0</v>
      </c>
      <c r="N682">
        <v>5</v>
      </c>
      <c r="O682" t="s">
        <v>29</v>
      </c>
      <c r="P682" t="s">
        <v>32</v>
      </c>
    </row>
    <row r="683" spans="1:16" x14ac:dyDescent="0.3">
      <c r="A683">
        <v>7939</v>
      </c>
      <c r="B683" t="s">
        <v>42</v>
      </c>
      <c r="C683" t="s">
        <v>390</v>
      </c>
      <c r="D683" s="6">
        <v>43233</v>
      </c>
      <c r="E683" t="s">
        <v>67</v>
      </c>
      <c r="F683" t="s">
        <v>44</v>
      </c>
      <c r="G683" t="s">
        <v>18</v>
      </c>
      <c r="H683" t="s">
        <v>19</v>
      </c>
      <c r="I683" t="s">
        <v>19</v>
      </c>
      <c r="J683" t="s">
        <v>20</v>
      </c>
      <c r="K683" t="s">
        <v>21</v>
      </c>
      <c r="L683" t="s">
        <v>19</v>
      </c>
      <c r="M683">
        <v>0</v>
      </c>
      <c r="N683">
        <v>8</v>
      </c>
      <c r="O683" t="s">
        <v>22</v>
      </c>
      <c r="P683" t="s">
        <v>46</v>
      </c>
    </row>
    <row r="684" spans="1:16" x14ac:dyDescent="0.3">
      <c r="A684">
        <v>7940</v>
      </c>
      <c r="B684" t="s">
        <v>15</v>
      </c>
      <c r="C684" t="s">
        <v>390</v>
      </c>
      <c r="D684" s="6">
        <v>43233</v>
      </c>
      <c r="E684" t="s">
        <v>68</v>
      </c>
      <c r="F684" t="s">
        <v>17</v>
      </c>
      <c r="G684" t="s">
        <v>39</v>
      </c>
      <c r="H684" t="s">
        <v>31</v>
      </c>
      <c r="I684" t="s">
        <v>31</v>
      </c>
      <c r="J684" t="s">
        <v>20</v>
      </c>
      <c r="K684" t="s">
        <v>21</v>
      </c>
      <c r="L684" t="s">
        <v>31</v>
      </c>
      <c r="M684">
        <v>0</v>
      </c>
      <c r="N684">
        <v>7</v>
      </c>
      <c r="O684" t="s">
        <v>28</v>
      </c>
      <c r="P684" t="s">
        <v>23</v>
      </c>
    </row>
    <row r="685" spans="1:16" x14ac:dyDescent="0.3">
      <c r="A685">
        <v>7941</v>
      </c>
      <c r="B685" t="s">
        <v>64</v>
      </c>
      <c r="C685" t="s">
        <v>390</v>
      </c>
      <c r="D685" s="6">
        <v>43234</v>
      </c>
      <c r="E685" t="s">
        <v>65</v>
      </c>
      <c r="F685" t="s">
        <v>66</v>
      </c>
      <c r="G685" t="s">
        <v>45</v>
      </c>
      <c r="H685" t="s">
        <v>50</v>
      </c>
      <c r="I685" t="s">
        <v>50</v>
      </c>
      <c r="J685" t="s">
        <v>20</v>
      </c>
      <c r="K685" t="s">
        <v>21</v>
      </c>
      <c r="L685" t="s">
        <v>50</v>
      </c>
      <c r="M685">
        <v>0</v>
      </c>
      <c r="N685">
        <v>10</v>
      </c>
      <c r="O685" t="s">
        <v>51</v>
      </c>
      <c r="P685" t="s">
        <v>52</v>
      </c>
    </row>
    <row r="686" spans="1:16" x14ac:dyDescent="0.3">
      <c r="A686">
        <v>7942</v>
      </c>
      <c r="B686" t="s">
        <v>24</v>
      </c>
      <c r="C686" t="s">
        <v>390</v>
      </c>
      <c r="D686" s="6">
        <v>43235</v>
      </c>
      <c r="E686" t="s">
        <v>63</v>
      </c>
      <c r="F686" t="s">
        <v>26</v>
      </c>
      <c r="G686" t="s">
        <v>31</v>
      </c>
      <c r="H686" t="s">
        <v>27</v>
      </c>
      <c r="I686" t="s">
        <v>27</v>
      </c>
      <c r="J686" t="s">
        <v>20</v>
      </c>
      <c r="K686" t="s">
        <v>21</v>
      </c>
      <c r="L686" t="s">
        <v>27</v>
      </c>
      <c r="M686">
        <v>0</v>
      </c>
      <c r="N686">
        <v>6</v>
      </c>
      <c r="O686" t="s">
        <v>29</v>
      </c>
      <c r="P686" t="s">
        <v>32</v>
      </c>
    </row>
    <row r="687" spans="1:16" x14ac:dyDescent="0.3">
      <c r="A687">
        <v>7943</v>
      </c>
      <c r="B687" t="s">
        <v>15</v>
      </c>
      <c r="C687" t="s">
        <v>390</v>
      </c>
      <c r="D687" s="6">
        <v>43236</v>
      </c>
      <c r="E687" t="s">
        <v>62</v>
      </c>
      <c r="F687" t="s">
        <v>17</v>
      </c>
      <c r="G687" t="s">
        <v>39</v>
      </c>
      <c r="H687" t="s">
        <v>45</v>
      </c>
      <c r="I687" t="s">
        <v>45</v>
      </c>
      <c r="J687" t="s">
        <v>20</v>
      </c>
      <c r="K687" t="s">
        <v>21</v>
      </c>
      <c r="L687" t="s">
        <v>39</v>
      </c>
      <c r="M687">
        <v>3</v>
      </c>
      <c r="N687">
        <v>0</v>
      </c>
      <c r="O687" t="s">
        <v>22</v>
      </c>
      <c r="P687" t="s">
        <v>28</v>
      </c>
    </row>
    <row r="688" spans="1:16" x14ac:dyDescent="0.3">
      <c r="A688">
        <v>7944</v>
      </c>
      <c r="B688" t="s">
        <v>58</v>
      </c>
      <c r="C688" t="s">
        <v>390</v>
      </c>
      <c r="D688" s="6">
        <v>43237</v>
      </c>
      <c r="E688" t="s">
        <v>59</v>
      </c>
      <c r="F688" t="s">
        <v>60</v>
      </c>
      <c r="G688" t="s">
        <v>50</v>
      </c>
      <c r="H688" t="s">
        <v>18</v>
      </c>
      <c r="I688" t="s">
        <v>18</v>
      </c>
      <c r="J688" t="s">
        <v>20</v>
      </c>
      <c r="K688" t="s">
        <v>21</v>
      </c>
      <c r="L688" t="s">
        <v>50</v>
      </c>
      <c r="M688">
        <v>14</v>
      </c>
      <c r="N688">
        <v>0</v>
      </c>
      <c r="O688" t="s">
        <v>23</v>
      </c>
      <c r="P688" t="s">
        <v>61</v>
      </c>
    </row>
    <row r="689" spans="1:16" x14ac:dyDescent="0.3">
      <c r="A689">
        <v>7945</v>
      </c>
      <c r="B689" t="s">
        <v>35</v>
      </c>
      <c r="C689" t="s">
        <v>390</v>
      </c>
      <c r="D689" s="6">
        <v>43238</v>
      </c>
      <c r="E689" t="s">
        <v>56</v>
      </c>
      <c r="F689" t="s">
        <v>37</v>
      </c>
      <c r="G689" t="s">
        <v>38</v>
      </c>
      <c r="H689" t="s">
        <v>19</v>
      </c>
      <c r="I689" t="s">
        <v>19</v>
      </c>
      <c r="J689" t="s">
        <v>20</v>
      </c>
      <c r="K689" t="s">
        <v>21</v>
      </c>
      <c r="L689" t="s">
        <v>38</v>
      </c>
      <c r="M689">
        <v>34</v>
      </c>
      <c r="N689">
        <v>0</v>
      </c>
      <c r="O689" t="s">
        <v>29</v>
      </c>
      <c r="P689" t="s">
        <v>57</v>
      </c>
    </row>
    <row r="690" spans="1:16" x14ac:dyDescent="0.3">
      <c r="A690">
        <v>7946</v>
      </c>
      <c r="B690" t="s">
        <v>47</v>
      </c>
      <c r="C690" t="s">
        <v>390</v>
      </c>
      <c r="D690" s="6">
        <v>43239</v>
      </c>
      <c r="E690" t="s">
        <v>48</v>
      </c>
      <c r="F690" t="s">
        <v>49</v>
      </c>
      <c r="G690" t="s">
        <v>31</v>
      </c>
      <c r="H690" t="s">
        <v>50</v>
      </c>
      <c r="I690" t="s">
        <v>31</v>
      </c>
      <c r="J690" t="s">
        <v>40</v>
      </c>
      <c r="K690" t="s">
        <v>21</v>
      </c>
      <c r="L690" t="s">
        <v>31</v>
      </c>
      <c r="M690">
        <v>30</v>
      </c>
      <c r="N690">
        <v>0</v>
      </c>
      <c r="O690" t="s">
        <v>51</v>
      </c>
      <c r="P690" t="s">
        <v>52</v>
      </c>
    </row>
    <row r="691" spans="1:16" x14ac:dyDescent="0.3">
      <c r="A691">
        <v>7947</v>
      </c>
      <c r="B691" t="s">
        <v>53</v>
      </c>
      <c r="C691" t="s">
        <v>390</v>
      </c>
      <c r="D691" s="6">
        <v>43239</v>
      </c>
      <c r="E691" t="s">
        <v>54</v>
      </c>
      <c r="F691" t="s">
        <v>55</v>
      </c>
      <c r="G691" t="s">
        <v>18</v>
      </c>
      <c r="H691" t="s">
        <v>27</v>
      </c>
      <c r="I691" t="s">
        <v>18</v>
      </c>
      <c r="J691" t="s">
        <v>40</v>
      </c>
      <c r="K691" t="s">
        <v>21</v>
      </c>
      <c r="L691" t="s">
        <v>27</v>
      </c>
      <c r="M691">
        <v>0</v>
      </c>
      <c r="N691">
        <v>5</v>
      </c>
      <c r="O691" t="s">
        <v>32</v>
      </c>
      <c r="P691" t="s">
        <v>23</v>
      </c>
    </row>
    <row r="692" spans="1:16" x14ac:dyDescent="0.3">
      <c r="A692">
        <v>7948</v>
      </c>
      <c r="B692" t="s">
        <v>35</v>
      </c>
      <c r="C692" t="s">
        <v>390</v>
      </c>
      <c r="D692" s="6">
        <v>43240</v>
      </c>
      <c r="E692" t="s">
        <v>36</v>
      </c>
      <c r="F692" t="s">
        <v>37</v>
      </c>
      <c r="G692" t="s">
        <v>38</v>
      </c>
      <c r="H692" t="s">
        <v>39</v>
      </c>
      <c r="I692" t="s">
        <v>38</v>
      </c>
      <c r="J692" t="s">
        <v>40</v>
      </c>
      <c r="K692" t="s">
        <v>21</v>
      </c>
      <c r="L692" t="s">
        <v>38</v>
      </c>
      <c r="M692">
        <v>11</v>
      </c>
      <c r="N692">
        <v>0</v>
      </c>
      <c r="O692" t="s">
        <v>29</v>
      </c>
      <c r="P692" t="s">
        <v>41</v>
      </c>
    </row>
    <row r="693" spans="1:16" x14ac:dyDescent="0.3">
      <c r="A693">
        <v>7949</v>
      </c>
      <c r="B693" t="s">
        <v>42</v>
      </c>
      <c r="C693" t="s">
        <v>390</v>
      </c>
      <c r="D693" s="6">
        <v>43240</v>
      </c>
      <c r="E693" t="s">
        <v>43</v>
      </c>
      <c r="F693" t="s">
        <v>44</v>
      </c>
      <c r="G693" t="s">
        <v>45</v>
      </c>
      <c r="H693" t="s">
        <v>19</v>
      </c>
      <c r="I693" t="s">
        <v>19</v>
      </c>
      <c r="J693" t="s">
        <v>20</v>
      </c>
      <c r="K693" t="s">
        <v>21</v>
      </c>
      <c r="L693" t="s">
        <v>19</v>
      </c>
      <c r="M693">
        <v>0</v>
      </c>
      <c r="N693">
        <v>5</v>
      </c>
      <c r="O693" t="s">
        <v>28</v>
      </c>
      <c r="P693" t="s">
        <v>46</v>
      </c>
    </row>
    <row r="694" spans="1:16" x14ac:dyDescent="0.3">
      <c r="A694">
        <v>7950</v>
      </c>
      <c r="B694" t="s">
        <v>15</v>
      </c>
      <c r="C694" t="s">
        <v>390</v>
      </c>
      <c r="D694" s="6">
        <v>43242</v>
      </c>
      <c r="E694" t="s">
        <v>33</v>
      </c>
      <c r="F694" t="s">
        <v>17</v>
      </c>
      <c r="G694" t="s">
        <v>18</v>
      </c>
      <c r="H694" t="s">
        <v>19</v>
      </c>
      <c r="I694" t="s">
        <v>19</v>
      </c>
      <c r="J694" t="s">
        <v>20</v>
      </c>
      <c r="K694" t="s">
        <v>21</v>
      </c>
      <c r="L694" t="s">
        <v>19</v>
      </c>
      <c r="M694">
        <v>0</v>
      </c>
      <c r="N694">
        <v>2</v>
      </c>
      <c r="O694" t="s">
        <v>22</v>
      </c>
      <c r="P694" t="s">
        <v>34</v>
      </c>
    </row>
    <row r="695" spans="1:16" x14ac:dyDescent="0.3">
      <c r="A695">
        <v>7951</v>
      </c>
      <c r="B695" t="s">
        <v>24</v>
      </c>
      <c r="C695" t="s">
        <v>390</v>
      </c>
      <c r="D695" s="6">
        <v>43243</v>
      </c>
      <c r="E695" t="s">
        <v>30</v>
      </c>
      <c r="F695" t="s">
        <v>26</v>
      </c>
      <c r="G695" t="s">
        <v>27</v>
      </c>
      <c r="H695" t="s">
        <v>31</v>
      </c>
      <c r="I695" t="s">
        <v>31</v>
      </c>
      <c r="J695" t="s">
        <v>20</v>
      </c>
      <c r="K695" t="s">
        <v>21</v>
      </c>
      <c r="L695" t="s">
        <v>27</v>
      </c>
      <c r="M695">
        <v>25</v>
      </c>
      <c r="N695">
        <v>0</v>
      </c>
      <c r="O695" t="s">
        <v>28</v>
      </c>
      <c r="P695" t="s">
        <v>32</v>
      </c>
    </row>
    <row r="696" spans="1:16" x14ac:dyDescent="0.3">
      <c r="A696">
        <v>7952</v>
      </c>
      <c r="B696" t="s">
        <v>24</v>
      </c>
      <c r="C696" t="s">
        <v>390</v>
      </c>
      <c r="D696" s="6">
        <v>43245</v>
      </c>
      <c r="E696" t="s">
        <v>25</v>
      </c>
      <c r="F696" t="s">
        <v>26</v>
      </c>
      <c r="G696" t="s">
        <v>18</v>
      </c>
      <c r="H696" t="s">
        <v>27</v>
      </c>
      <c r="I696" t="s">
        <v>27</v>
      </c>
      <c r="J696" t="s">
        <v>20</v>
      </c>
      <c r="K696" t="s">
        <v>21</v>
      </c>
      <c r="L696" t="s">
        <v>18</v>
      </c>
      <c r="M696">
        <v>14</v>
      </c>
      <c r="N696">
        <v>0</v>
      </c>
      <c r="O696" t="s">
        <v>28</v>
      </c>
      <c r="P696" t="s">
        <v>29</v>
      </c>
    </row>
    <row r="697" spans="1:16" x14ac:dyDescent="0.3">
      <c r="A697">
        <v>7953</v>
      </c>
      <c r="B697" t="s">
        <v>15</v>
      </c>
      <c r="C697" t="s">
        <v>390</v>
      </c>
      <c r="D697" s="6">
        <v>43247</v>
      </c>
      <c r="E697" t="s">
        <v>16</v>
      </c>
      <c r="F697" t="s">
        <v>17</v>
      </c>
      <c r="G697" t="s">
        <v>18</v>
      </c>
      <c r="H697" t="s">
        <v>19</v>
      </c>
      <c r="I697" t="s">
        <v>19</v>
      </c>
      <c r="J697" t="s">
        <v>20</v>
      </c>
      <c r="K697" t="s">
        <v>21</v>
      </c>
      <c r="L697" t="s">
        <v>19</v>
      </c>
      <c r="M697">
        <v>0</v>
      </c>
      <c r="N697">
        <v>8</v>
      </c>
      <c r="O697" t="s">
        <v>22</v>
      </c>
      <c r="P697" t="s">
        <v>23</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CF749-BF92-414A-838D-F11A33ABAC1B}">
  <dimension ref="A3:G10"/>
  <sheetViews>
    <sheetView workbookViewId="0">
      <selection activeCell="B7" sqref="B7"/>
    </sheetView>
  </sheetViews>
  <sheetFormatPr defaultRowHeight="15.6" x14ac:dyDescent="0.3"/>
  <cols>
    <col min="1" max="1" width="18.796875" bestFit="1" customWidth="1"/>
    <col min="2" max="2" width="15" bestFit="1" customWidth="1"/>
  </cols>
  <sheetData>
    <row r="3" spans="1:7" x14ac:dyDescent="0.3">
      <c r="A3" s="7" t="s">
        <v>420</v>
      </c>
      <c r="B3" t="s">
        <v>427</v>
      </c>
    </row>
    <row r="4" spans="1:7" x14ac:dyDescent="0.3">
      <c r="A4" s="8" t="s">
        <v>19</v>
      </c>
      <c r="B4">
        <v>3</v>
      </c>
    </row>
    <row r="5" spans="1:7" x14ac:dyDescent="0.3">
      <c r="A5" s="8" t="s">
        <v>39</v>
      </c>
      <c r="B5">
        <v>3</v>
      </c>
      <c r="E5" t="str">
        <f>A4</f>
        <v>Chennai Super Kings</v>
      </c>
      <c r="G5">
        <f>GETPIVOTDATA("Winner",$A$3,"Winner",A4)</f>
        <v>3</v>
      </c>
    </row>
    <row r="6" spans="1:7" x14ac:dyDescent="0.3">
      <c r="A6" s="8" t="s">
        <v>27</v>
      </c>
      <c r="B6">
        <v>2</v>
      </c>
      <c r="E6" t="str">
        <f t="shared" ref="E6:E10" si="0">A5</f>
        <v>Mumbai Indians</v>
      </c>
      <c r="G6">
        <f t="shared" ref="G6:G10" si="1">GETPIVOTDATA("Winner",$A$3,"Winner",A5)</f>
        <v>3</v>
      </c>
    </row>
    <row r="7" spans="1:7" x14ac:dyDescent="0.3">
      <c r="A7" s="8" t="s">
        <v>260</v>
      </c>
      <c r="B7">
        <v>1</v>
      </c>
      <c r="E7" t="str">
        <f t="shared" si="0"/>
        <v>Kolkata Knight Riders</v>
      </c>
      <c r="G7">
        <f t="shared" si="1"/>
        <v>2</v>
      </c>
    </row>
    <row r="8" spans="1:7" x14ac:dyDescent="0.3">
      <c r="A8" s="8" t="s">
        <v>18</v>
      </c>
      <c r="B8">
        <v>1</v>
      </c>
      <c r="E8" t="str">
        <f t="shared" si="0"/>
        <v>Deccan Chargers</v>
      </c>
      <c r="G8">
        <f t="shared" si="1"/>
        <v>1</v>
      </c>
    </row>
    <row r="9" spans="1:7" x14ac:dyDescent="0.3">
      <c r="A9" s="8" t="s">
        <v>31</v>
      </c>
      <c r="B9">
        <v>1</v>
      </c>
      <c r="E9" t="str">
        <f t="shared" si="0"/>
        <v>Sunrisers Hyderabad</v>
      </c>
      <c r="G9">
        <f t="shared" si="1"/>
        <v>1</v>
      </c>
    </row>
    <row r="10" spans="1:7" x14ac:dyDescent="0.3">
      <c r="A10" s="8" t="s">
        <v>421</v>
      </c>
      <c r="B10">
        <v>11</v>
      </c>
      <c r="E10" t="str">
        <f t="shared" si="0"/>
        <v>Rajasthan Royals</v>
      </c>
      <c r="G10">
        <f t="shared" si="1"/>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zoomScale="141" workbookViewId="0">
      <selection sqref="A1:E12"/>
    </sheetView>
  </sheetViews>
  <sheetFormatPr defaultRowHeight="15.6" x14ac:dyDescent="0.3"/>
  <cols>
    <col min="2" max="2" width="27" customWidth="1"/>
    <col min="3" max="3" width="22.796875" customWidth="1"/>
    <col min="4" max="4" width="17" customWidth="1"/>
    <col min="5" max="5" width="18.09765625" customWidth="1"/>
  </cols>
  <sheetData>
    <row r="1" spans="1:5" ht="19.95" customHeight="1" x14ac:dyDescent="0.3">
      <c r="A1" s="12" t="s">
        <v>384</v>
      </c>
      <c r="B1" s="13" t="s">
        <v>385</v>
      </c>
      <c r="C1" s="13" t="s">
        <v>386</v>
      </c>
      <c r="D1" s="13" t="s">
        <v>387</v>
      </c>
      <c r="E1" s="14" t="s">
        <v>388</v>
      </c>
    </row>
    <row r="2" spans="1:5" ht="19.95" customHeight="1" x14ac:dyDescent="0.3">
      <c r="A2" s="9" t="s">
        <v>390</v>
      </c>
      <c r="B2" s="4" t="s">
        <v>19</v>
      </c>
      <c r="C2" s="3" t="s">
        <v>18</v>
      </c>
      <c r="D2" s="3" t="s">
        <v>391</v>
      </c>
      <c r="E2" s="10" t="s">
        <v>392</v>
      </c>
    </row>
    <row r="3" spans="1:5" ht="19.95" customHeight="1" x14ac:dyDescent="0.3">
      <c r="A3" s="9" t="s">
        <v>393</v>
      </c>
      <c r="B3" s="2" t="s">
        <v>39</v>
      </c>
      <c r="C3" s="5" t="s">
        <v>394</v>
      </c>
      <c r="D3" s="5" t="s">
        <v>395</v>
      </c>
      <c r="E3" s="11" t="s">
        <v>396</v>
      </c>
    </row>
    <row r="4" spans="1:5" ht="19.95" customHeight="1" x14ac:dyDescent="0.3">
      <c r="A4" s="9" t="s">
        <v>397</v>
      </c>
      <c r="B4" s="4" t="s">
        <v>18</v>
      </c>
      <c r="C4" s="3" t="s">
        <v>50</v>
      </c>
      <c r="D4" s="3" t="s">
        <v>398</v>
      </c>
      <c r="E4" s="10" t="s">
        <v>399</v>
      </c>
    </row>
    <row r="5" spans="1:5" ht="19.95" customHeight="1" x14ac:dyDescent="0.3">
      <c r="A5" s="9" t="s">
        <v>400</v>
      </c>
      <c r="B5" s="2" t="s">
        <v>39</v>
      </c>
      <c r="C5" s="5" t="s">
        <v>19</v>
      </c>
      <c r="D5" s="5" t="s">
        <v>401</v>
      </c>
      <c r="E5" s="11" t="s">
        <v>389</v>
      </c>
    </row>
    <row r="6" spans="1:5" ht="19.95" customHeight="1" x14ac:dyDescent="0.3">
      <c r="A6" s="9" t="s">
        <v>402</v>
      </c>
      <c r="B6" s="4" t="s">
        <v>27</v>
      </c>
      <c r="C6" s="3" t="s">
        <v>45</v>
      </c>
      <c r="D6" s="3" t="s">
        <v>403</v>
      </c>
      <c r="E6" s="10" t="s">
        <v>404</v>
      </c>
    </row>
    <row r="7" spans="1:5" ht="19.95" customHeight="1" x14ac:dyDescent="0.3">
      <c r="A7" s="9" t="s">
        <v>405</v>
      </c>
      <c r="B7" s="2" t="s">
        <v>39</v>
      </c>
      <c r="C7" s="5" t="s">
        <v>19</v>
      </c>
      <c r="D7" s="5" t="s">
        <v>406</v>
      </c>
      <c r="E7" s="11" t="s">
        <v>391</v>
      </c>
    </row>
    <row r="8" spans="1:5" ht="19.95" customHeight="1" x14ac:dyDescent="0.3">
      <c r="A8" s="9" t="s">
        <v>407</v>
      </c>
      <c r="B8" s="4" t="s">
        <v>27</v>
      </c>
      <c r="C8" s="3" t="s">
        <v>19</v>
      </c>
      <c r="D8" s="3" t="s">
        <v>408</v>
      </c>
      <c r="E8" s="10" t="s">
        <v>392</v>
      </c>
    </row>
    <row r="9" spans="1:5" ht="19.95" customHeight="1" x14ac:dyDescent="0.3">
      <c r="A9" s="9" t="s">
        <v>409</v>
      </c>
      <c r="B9" s="2" t="s">
        <v>19</v>
      </c>
      <c r="C9" s="5" t="s">
        <v>50</v>
      </c>
      <c r="D9" s="5" t="s">
        <v>410</v>
      </c>
      <c r="E9" s="11" t="s">
        <v>411</v>
      </c>
    </row>
    <row r="10" spans="1:5" ht="19.95" customHeight="1" x14ac:dyDescent="0.3">
      <c r="A10" s="9" t="s">
        <v>412</v>
      </c>
      <c r="B10" s="4" t="s">
        <v>19</v>
      </c>
      <c r="C10" s="3" t="s">
        <v>39</v>
      </c>
      <c r="D10" s="3" t="s">
        <v>413</v>
      </c>
      <c r="E10" s="10" t="s">
        <v>414</v>
      </c>
    </row>
    <row r="11" spans="1:5" ht="19.95" customHeight="1" x14ac:dyDescent="0.3">
      <c r="A11" s="9" t="s">
        <v>415</v>
      </c>
      <c r="B11" s="2" t="s">
        <v>260</v>
      </c>
      <c r="C11" s="5" t="s">
        <v>50</v>
      </c>
      <c r="D11" s="5" t="s">
        <v>416</v>
      </c>
      <c r="E11" s="11" t="s">
        <v>417</v>
      </c>
    </row>
    <row r="12" spans="1:5" ht="19.95" customHeight="1" x14ac:dyDescent="0.3">
      <c r="A12" s="15" t="s">
        <v>418</v>
      </c>
      <c r="B12" s="16" t="s">
        <v>31</v>
      </c>
      <c r="C12" s="17" t="s">
        <v>19</v>
      </c>
      <c r="D12" s="17" t="s">
        <v>419</v>
      </c>
      <c r="E12" s="18"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Man of the Match</vt:lpstr>
      <vt:lpstr>Matches win by team</vt:lpstr>
      <vt:lpstr>Top 10 Winners</vt:lpstr>
      <vt:lpstr>Toss Decison based on winning</vt:lpstr>
      <vt:lpstr>KPI</vt:lpstr>
      <vt:lpstr>Dashboard</vt:lpstr>
      <vt:lpstr>IPL Matches 2008-2018</vt:lpstr>
      <vt:lpstr>Title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Rishabh Singh</cp:lastModifiedBy>
  <dcterms:created xsi:type="dcterms:W3CDTF">2023-05-25T13:59:02Z</dcterms:created>
  <dcterms:modified xsi:type="dcterms:W3CDTF">2026-06-15T17:13:03Z</dcterms:modified>
</cp:coreProperties>
</file>